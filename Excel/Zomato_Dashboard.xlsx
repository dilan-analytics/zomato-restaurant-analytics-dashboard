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Projects\Data Analysis and Visualization Projects\Zomato Data Analysis\"/>
    </mc:Choice>
  </mc:AlternateContent>
  <xr:revisionPtr revIDLastSave="0" documentId="13_ncr:1_{FC06DF40-7DE3-41D6-9217-C9B926539E38}" xr6:coauthVersionLast="47" xr6:coauthVersionMax="47" xr10:uidLastSave="{00000000-0000-0000-0000-000000000000}"/>
  <bookViews>
    <workbookView xWindow="-108" yWindow="-108" windowWidth="23256" windowHeight="12456" activeTab="6" xr2:uid="{2FE1AB03-3CCD-4F87-AB42-541764E91E1D}"/>
  </bookViews>
  <sheets>
    <sheet name="Sheet4" sheetId="5" r:id="rId1"/>
    <sheet name="Sheet5" sheetId="6" r:id="rId2"/>
    <sheet name="Sheet6" sheetId="7" r:id="rId3"/>
    <sheet name="Sheet7" sheetId="8" r:id="rId4"/>
    <sheet name="Data" sheetId="1" r:id="rId5"/>
    <sheet name="Pivot_Data" sheetId="2" r:id="rId6"/>
    <sheet name="DashBoard" sheetId="4" r:id="rId7"/>
  </sheets>
  <definedNames>
    <definedName name="Slicer_cost_category">#N/A</definedName>
    <definedName name="Slicer_listed_in_type">#N/A</definedName>
    <definedName name="Slicer_online_order">#N/A</definedName>
  </definedNames>
  <calcPr calcId="181029"/>
  <pivotCaches>
    <pivotCache cacheId="0"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 i="2" l="1"/>
  <c r="E9" i="2"/>
  <c r="D9" i="2"/>
  <c r="C9" i="2"/>
  <c r="B9" i="2"/>
  <c r="B5" i="2"/>
  <c r="B4" i="2"/>
  <c r="B3" i="2"/>
  <c r="B2" i="2"/>
  <c r="B1" i="2"/>
</calcChain>
</file>

<file path=xl/sharedStrings.xml><?xml version="1.0" encoding="utf-8"?>
<sst xmlns="http://schemas.openxmlformats.org/spreadsheetml/2006/main" count="792" uniqueCount="177">
  <si>
    <t>name</t>
  </si>
  <si>
    <t>online_order</t>
  </si>
  <si>
    <t>book_table</t>
  </si>
  <si>
    <t>rate</t>
  </si>
  <si>
    <t>votes</t>
  </si>
  <si>
    <t>approx_cost(for two people)</t>
  </si>
  <si>
    <t>listed_in(type)</t>
  </si>
  <si>
    <t>cost_category</t>
  </si>
  <si>
    <t>Jalsa</t>
  </si>
  <si>
    <t>Yes</t>
  </si>
  <si>
    <t>Buffet</t>
  </si>
  <si>
    <t>High</t>
  </si>
  <si>
    <t>Spice Elephant</t>
  </si>
  <si>
    <t>No</t>
  </si>
  <si>
    <t>San Churro Cafe</t>
  </si>
  <si>
    <t>Addhuri Udupi Bhojana</t>
  </si>
  <si>
    <t>Medium</t>
  </si>
  <si>
    <t>Grand Village</t>
  </si>
  <si>
    <t>Timepass Dinner</t>
  </si>
  <si>
    <t>Rosewood International Hotel - Bar &amp; Restaurant</t>
  </si>
  <si>
    <t>Onesta</t>
  </si>
  <si>
    <t>Cafes</t>
  </si>
  <si>
    <t>Penthouse Cafe</t>
  </si>
  <si>
    <t>other</t>
  </si>
  <si>
    <t>Smacznego</t>
  </si>
  <si>
    <t>Village CafÃ©</t>
  </si>
  <si>
    <t>Cafe Shuffle</t>
  </si>
  <si>
    <t>The Coffee Shack</t>
  </si>
  <si>
    <t>Caf-Eleven</t>
  </si>
  <si>
    <t>Cafe Vivacity</t>
  </si>
  <si>
    <t>Catch-up-ino</t>
  </si>
  <si>
    <t>Kirthi's Biryani</t>
  </si>
  <si>
    <t>T3H Cafe</t>
  </si>
  <si>
    <t>360 Atoms Restaurant And Cafe</t>
  </si>
  <si>
    <t>The Vintage Cafe</t>
  </si>
  <si>
    <t>Woodee Pizza</t>
  </si>
  <si>
    <t>Cafe Coffee Day</t>
  </si>
  <si>
    <t>My Tea House</t>
  </si>
  <si>
    <t>Hide Out Cafe</t>
  </si>
  <si>
    <t>CAFE NOVA</t>
  </si>
  <si>
    <t>Coffee Tindi</t>
  </si>
  <si>
    <t>Low</t>
  </si>
  <si>
    <t>Sea Green Cafe</t>
  </si>
  <si>
    <t>Cuppa</t>
  </si>
  <si>
    <t>Srinathji's Cafe</t>
  </si>
  <si>
    <t>Redberrys</t>
  </si>
  <si>
    <t>Foodiction</t>
  </si>
  <si>
    <t>Sweet Truth</t>
  </si>
  <si>
    <t>Dining</t>
  </si>
  <si>
    <t>Ovenstory Pizza</t>
  </si>
  <si>
    <t>Faasos</t>
  </si>
  <si>
    <t>Behrouz Biryani</t>
  </si>
  <si>
    <t>Fast And Fresh</t>
  </si>
  <si>
    <t>Szechuan Dragon</t>
  </si>
  <si>
    <t>Empire Restaurant</t>
  </si>
  <si>
    <t>Maruthi Davangere Benne Dosa</t>
  </si>
  <si>
    <t>Chaatimes</t>
  </si>
  <si>
    <t>Havyaka Mess</t>
  </si>
  <si>
    <t>McDonald's</t>
  </si>
  <si>
    <t>Domino's Pizza</t>
  </si>
  <si>
    <t>Hotboxit</t>
  </si>
  <si>
    <t>Kitchen Garden</t>
  </si>
  <si>
    <t>Recipe</t>
  </si>
  <si>
    <t>Beijing Bites</t>
  </si>
  <si>
    <t>Tasty Bytes</t>
  </si>
  <si>
    <t>Petoo</t>
  </si>
  <si>
    <t>Shree Cool Point</t>
  </si>
  <si>
    <t>Corner House Ice Cream</t>
  </si>
  <si>
    <t>Biryanis And More</t>
  </si>
  <si>
    <t>Roving Feast</t>
  </si>
  <si>
    <t>FreshMenu</t>
  </si>
  <si>
    <t>Banashankari Donne Biriyani</t>
  </si>
  <si>
    <t>Wamama</t>
  </si>
  <si>
    <t>Five Star Chicken</t>
  </si>
  <si>
    <t>XO Belgian Waffle</t>
  </si>
  <si>
    <t>Peppy Peppers</t>
  </si>
  <si>
    <t>Goa 0 Km</t>
  </si>
  <si>
    <t>Chinese Kitchen</t>
  </si>
  <si>
    <t>Jeet Restaurant</t>
  </si>
  <si>
    <t>Cake of the Day</t>
  </si>
  <si>
    <t>Kabab Magic</t>
  </si>
  <si>
    <t>Namma Brahmin's Idli</t>
  </si>
  <si>
    <t>Gustoes Beer House</t>
  </si>
  <si>
    <t>Sugar Rush</t>
  </si>
  <si>
    <t>Burger King</t>
  </si>
  <si>
    <t>The Good Bowl</t>
  </si>
  <si>
    <t>The Biryani Cafe</t>
  </si>
  <si>
    <t>Spicy Tandoor</t>
  </si>
  <si>
    <t>LSD Cafe</t>
  </si>
  <si>
    <t>Rolls On Wheels</t>
  </si>
  <si>
    <t>Om Sri Vinayaka Chats</t>
  </si>
  <si>
    <t>Sri Guru Kottureshwara Davangere Benne Dosa</t>
  </si>
  <si>
    <t>Devanna Dum Biriyani Centre</t>
  </si>
  <si>
    <t>Kolbeh</t>
  </si>
  <si>
    <t>Upahar Sagar</t>
  </si>
  <si>
    <t>Kadalu Sea Food Restaurant</t>
  </si>
  <si>
    <t>Frozen Bottle</t>
  </si>
  <si>
    <t>Parimala Sweets</t>
  </si>
  <si>
    <t>Vaishali Deluxe</t>
  </si>
  <si>
    <t>Chill Out</t>
  </si>
  <si>
    <t>The Big O Bakes</t>
  </si>
  <si>
    <t>Meghana Foods</t>
  </si>
  <si>
    <t>Krishna Sagar</t>
  </si>
  <si>
    <t>Dessert Rose</t>
  </si>
  <si>
    <t>Chickpet Donne Biryani House</t>
  </si>
  <si>
    <t>Me And My Cake</t>
  </si>
  <si>
    <t>Sunsadm</t>
  </si>
  <si>
    <t>Annapooraneshwari Mess</t>
  </si>
  <si>
    <t>Thanco's Natural Ice Creams</t>
  </si>
  <si>
    <t>Nandhini Deluxe</t>
  </si>
  <si>
    <t>Vi Ra's Bar and Restaurant</t>
  </si>
  <si>
    <t>Kaggis</t>
  </si>
  <si>
    <t>Ayda Persian Kitchen</t>
  </si>
  <si>
    <t>Chatar Patar</t>
  </si>
  <si>
    <t>Polar Bear</t>
  </si>
  <si>
    <t>Kidambi's Kitchen</t>
  </si>
  <si>
    <t>Mane Thindi</t>
  </si>
  <si>
    <t>Kotian Karavali Restaurant</t>
  </si>
  <si>
    <t>Floured-Baked With Love</t>
  </si>
  <si>
    <t>Cakes &amp; Slices</t>
  </si>
  <si>
    <t>Spice 9</t>
  </si>
  <si>
    <t>Coffee Shopee</t>
  </si>
  <si>
    <t>Naveen Kabab &amp; Biriyani Mane</t>
  </si>
  <si>
    <t>Katriguppe Donne Biryani</t>
  </si>
  <si>
    <t>Hari Super Sandwich</t>
  </si>
  <si>
    <t>Atithi Point Ande Ka Funda</t>
  </si>
  <si>
    <t>Just Bake</t>
  </si>
  <si>
    <t>Dharwad Line Bazaar Mishra Pedha</t>
  </si>
  <si>
    <t>Cake Bite</t>
  </si>
  <si>
    <t>Aarush's Food Plaza</t>
  </si>
  <si>
    <t>Wood Stove</t>
  </si>
  <si>
    <t>Kulfi &amp; More</t>
  </si>
  <si>
    <t>Kannadigas Karavali</t>
  </si>
  <si>
    <t>K27 - The Pub</t>
  </si>
  <si>
    <t>Bengaluru Coffee House</t>
  </si>
  <si>
    <t>New Mangalore Lunch Home</t>
  </si>
  <si>
    <t>Coffee Bytes</t>
  </si>
  <si>
    <t>Parjanya Chat Zone</t>
  </si>
  <si>
    <t>Kwality Wall's Swirl's Happiness Station</t>
  </si>
  <si>
    <t>Soms Kitchen &amp; Bakes</t>
  </si>
  <si>
    <t>Banashankari Nati Style</t>
  </si>
  <si>
    <t>Ruchi Maayaka</t>
  </si>
  <si>
    <t>Mohitesh Hut Roll</t>
  </si>
  <si>
    <t>Sri Basaveshwar Jolada Rotti Oota</t>
  </si>
  <si>
    <t>Roll Magic Fast Food</t>
  </si>
  <si>
    <t>Foodlieious Multi Cuisine</t>
  </si>
  <si>
    <t>Thanishka Nati And Karavali Style</t>
  </si>
  <si>
    <t>Swathi Cool Point</t>
  </si>
  <si>
    <t>Kaumudis Juoice</t>
  </si>
  <si>
    <t>Amma - Manae</t>
  </si>
  <si>
    <t>Sri Sai Tiffannies</t>
  </si>
  <si>
    <t>Hotel Andhra Speices</t>
  </si>
  <si>
    <t>Sri Murari Family Restaurant</t>
  </si>
  <si>
    <t>Aramane Donne Biriyani</t>
  </si>
  <si>
    <t>Darkolates</t>
  </si>
  <si>
    <t>Swaada Healthy Kitchen</t>
  </si>
  <si>
    <t>Gawdaru Mane Beriyani</t>
  </si>
  <si>
    <t>Melting Melodies</t>
  </si>
  <si>
    <t>New Indraprasta</t>
  </si>
  <si>
    <t>Anna Kuteera</t>
  </si>
  <si>
    <t>Darbar</t>
  </si>
  <si>
    <t>Vijayalakshmi</t>
  </si>
  <si>
    <t>Total Restaurants</t>
  </si>
  <si>
    <t>Avg Rarting</t>
  </si>
  <si>
    <t>Avg Cost</t>
  </si>
  <si>
    <t>Online Order (%)</t>
  </si>
  <si>
    <t>High Rated(4+)</t>
  </si>
  <si>
    <t>2.5-3.0</t>
  </si>
  <si>
    <t>3.0-3.5</t>
  </si>
  <si>
    <t>3.5-4.0</t>
  </si>
  <si>
    <t>4.0-4.5</t>
  </si>
  <si>
    <t>4.5-5.0</t>
  </si>
  <si>
    <t>Row Labels</t>
  </si>
  <si>
    <t>Grand Total</t>
  </si>
  <si>
    <t>Average of rate</t>
  </si>
  <si>
    <t>Sum of votes</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</si>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</sst>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0"/>
      <color theme="1"/>
      <name val="Arial Unicode MS"/>
      <family val="2"/>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9" fontId="0" fillId="0" borderId="0" xfId="0" applyNumberFormat="1"/>
    <xf numFmtId="0" fontId="2" fillId="0" borderId="0" xfId="0" applyFont="1"/>
    <xf numFmtId="0" fontId="0" fillId="0" borderId="0" xfId="0" pivotButton="1"/>
    <xf numFmtId="0" fontId="0" fillId="0" borderId="0" xfId="0" applyAlignment="1">
      <alignment horizontal="left"/>
    </xf>
    <xf numFmtId="2" fontId="0" fillId="0" borderId="0" xfId="0" applyNumberFormat="1"/>
    <xf numFmtId="0" fontId="1" fillId="2" borderId="0" xfId="0" applyFont="1" applyFill="1"/>
  </cellXfs>
  <cellStyles count="1">
    <cellStyle name="Normal" xfId="0" builtinId="0"/>
  </cellStyles>
  <dxfs count="1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4472C4"/>
      <color rgb="FFF4F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rPr>
              <a:t>Ratings &amp; Votes by Restaurant Type</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Sheet4!$C$1</c:f>
              <c:strCache>
                <c:ptCount val="1"/>
                <c:pt idx="0">
                  <c:v>Sum of votes</c:v>
                </c:pt>
              </c:strCache>
            </c:strRef>
          </c:tx>
          <c:spPr>
            <a:solidFill>
              <a:schemeClr val="accent2"/>
            </a:solidFill>
            <a:ln>
              <a:noFill/>
            </a:ln>
            <a:effectLst/>
          </c:spPr>
          <c:invertIfNegative val="0"/>
          <c:cat>
            <c:strRef>
              <c:f>Sheet4!$A$2:$A$6</c:f>
              <c:strCache>
                <c:ptCount val="4"/>
                <c:pt idx="0">
                  <c:v>Buffet</c:v>
                </c:pt>
                <c:pt idx="1">
                  <c:v>Cafes</c:v>
                </c:pt>
                <c:pt idx="2">
                  <c:v>Dining</c:v>
                </c:pt>
                <c:pt idx="3">
                  <c:v>other</c:v>
                </c:pt>
              </c:strCache>
            </c:strRef>
          </c:cat>
          <c:val>
            <c:numRef>
              <c:f>Sheet4!$C$2:$C$6</c:f>
              <c:numCache>
                <c:formatCode>General</c:formatCode>
                <c:ptCount val="4"/>
                <c:pt idx="0">
                  <c:v>3028</c:v>
                </c:pt>
                <c:pt idx="1">
                  <c:v>6434</c:v>
                </c:pt>
                <c:pt idx="2">
                  <c:v>20363</c:v>
                </c:pt>
                <c:pt idx="3">
                  <c:v>9367</c:v>
                </c:pt>
              </c:numCache>
            </c:numRef>
          </c:val>
          <c:extLst>
            <c:ext xmlns:c16="http://schemas.microsoft.com/office/drawing/2014/chart" uri="{C3380CC4-5D6E-409C-BE32-E72D297353CC}">
              <c16:uniqueId val="{00000002-A942-4BF4-914B-2A165D0D03EB}"/>
            </c:ext>
          </c:extLst>
        </c:ser>
        <c:dLbls>
          <c:showLegendKey val="0"/>
          <c:showVal val="0"/>
          <c:showCatName val="0"/>
          <c:showSerName val="0"/>
          <c:showPercent val="0"/>
          <c:showBubbleSize val="0"/>
        </c:dLbls>
        <c:gapWidth val="219"/>
        <c:axId val="2033366960"/>
        <c:axId val="2033371760"/>
      </c:barChart>
      <c:lineChart>
        <c:grouping val="stacked"/>
        <c:varyColors val="0"/>
        <c:ser>
          <c:idx val="0"/>
          <c:order val="0"/>
          <c:tx>
            <c:strRef>
              <c:f>Sheet4!$B$1</c:f>
              <c:strCache>
                <c:ptCount val="1"/>
                <c:pt idx="0">
                  <c:v>Average of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Sheet4!$A$2:$A$6</c:f>
              <c:strCache>
                <c:ptCount val="4"/>
                <c:pt idx="0">
                  <c:v>Buffet</c:v>
                </c:pt>
                <c:pt idx="1">
                  <c:v>Cafes</c:v>
                </c:pt>
                <c:pt idx="2">
                  <c:v>Dining</c:v>
                </c:pt>
                <c:pt idx="3">
                  <c:v>other</c:v>
                </c:pt>
              </c:strCache>
            </c:strRef>
          </c:cat>
          <c:val>
            <c:numRef>
              <c:f>Sheet4!$B$2:$B$6</c:f>
              <c:numCache>
                <c:formatCode>0.00</c:formatCode>
                <c:ptCount val="4"/>
                <c:pt idx="0">
                  <c:v>3.842857142857143</c:v>
                </c:pt>
                <c:pt idx="1">
                  <c:v>3.7652173913043474</c:v>
                </c:pt>
                <c:pt idx="2">
                  <c:v>3.5718181818181796</c:v>
                </c:pt>
                <c:pt idx="3">
                  <c:v>3.9124999999999996</c:v>
                </c:pt>
              </c:numCache>
            </c:numRef>
          </c:val>
          <c:smooth val="0"/>
          <c:extLst>
            <c:ext xmlns:c16="http://schemas.microsoft.com/office/drawing/2014/chart" uri="{C3380CC4-5D6E-409C-BE32-E72D297353CC}">
              <c16:uniqueId val="{00000000-A942-4BF4-914B-2A165D0D03EB}"/>
            </c:ext>
          </c:extLst>
        </c:ser>
        <c:dLbls>
          <c:showLegendKey val="0"/>
          <c:showVal val="0"/>
          <c:showCatName val="0"/>
          <c:showSerName val="0"/>
          <c:showPercent val="0"/>
          <c:showBubbleSize val="0"/>
        </c:dLbls>
        <c:marker val="1"/>
        <c:smooth val="0"/>
        <c:axId val="1994028976"/>
        <c:axId val="1994026096"/>
      </c:lineChart>
      <c:catAx>
        <c:axId val="199402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26096"/>
        <c:crosses val="autoZero"/>
        <c:auto val="1"/>
        <c:lblAlgn val="ctr"/>
        <c:lblOffset val="100"/>
        <c:noMultiLvlLbl val="0"/>
      </c:catAx>
      <c:valAx>
        <c:axId val="19940260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28976"/>
        <c:crosses val="autoZero"/>
        <c:crossBetween val="between"/>
      </c:valAx>
      <c:valAx>
        <c:axId val="2033371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366960"/>
        <c:crosses val="max"/>
        <c:crossBetween val="between"/>
      </c:valAx>
      <c:catAx>
        <c:axId val="2033366960"/>
        <c:scaling>
          <c:orientation val="minMax"/>
        </c:scaling>
        <c:delete val="1"/>
        <c:axPos val="b"/>
        <c:numFmt formatCode="General" sourceLinked="1"/>
        <c:majorTickMark val="out"/>
        <c:minorTickMark val="none"/>
        <c:tickLblPos val="nextTo"/>
        <c:crossAx val="2033371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[Zomato_Dashboard.xlsx]Sheet5!PivotTable2</c:name>
    <c:fmtId val="0"/>
  </c:pivotSource>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r>
              <a:rPr lang="en-US" sz="1600" b="1" i="0" u="none" strike="noStrike" baseline="0">
                <a:solidFill>
                  <a:schemeClr val="accent1">
                    <a:lumMod val="50000"/>
                  </a:schemeClr>
                </a:solidFill>
              </a:rPr>
              <a:t>Restaurant Distribution by Cost</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High</c:v>
                </c:pt>
                <c:pt idx="1">
                  <c:v>Low</c:v>
                </c:pt>
                <c:pt idx="2">
                  <c:v>Medium</c:v>
                </c:pt>
              </c:strCache>
            </c:strRef>
          </c:cat>
          <c:val>
            <c:numRef>
              <c:f>Sheet5!$B$4:$B$7</c:f>
              <c:numCache>
                <c:formatCode>General</c:formatCode>
                <c:ptCount val="3"/>
                <c:pt idx="0">
                  <c:v>25</c:v>
                </c:pt>
                <c:pt idx="1">
                  <c:v>44</c:v>
                </c:pt>
                <c:pt idx="2">
                  <c:v>79</c:v>
                </c:pt>
              </c:numCache>
            </c:numRef>
          </c:val>
          <c:extLst>
            <c:ext xmlns:c16="http://schemas.microsoft.com/office/drawing/2014/chart" uri="{C3380CC4-5D6E-409C-BE32-E72D297353CC}">
              <c16:uniqueId val="{00000000-4F98-4BDF-ABFE-3E67DF19B708}"/>
            </c:ext>
          </c:extLst>
        </c:ser>
        <c:dLbls>
          <c:showLegendKey val="0"/>
          <c:showVal val="0"/>
          <c:showCatName val="0"/>
          <c:showSerName val="0"/>
          <c:showPercent val="0"/>
          <c:showBubbleSize val="0"/>
        </c:dLbls>
        <c:gapWidth val="219"/>
        <c:axId val="1064277248"/>
        <c:axId val="1064278208"/>
      </c:barChart>
      <c:catAx>
        <c:axId val="10642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78208"/>
        <c:crosses val="autoZero"/>
        <c:auto val="1"/>
        <c:lblAlgn val="ctr"/>
        <c:lblOffset val="100"/>
        <c:noMultiLvlLbl val="0"/>
      </c:catAx>
      <c:valAx>
        <c:axId val="106427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Market Share by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2"/>
          </a:solidFill>
          <a:ln>
            <a:noFill/>
          </a:ln>
          <a:effectLst/>
        </c:spPr>
      </c:pivotFmt>
      <c:pivotFmt>
        <c:idx val="14"/>
        <c:spPr>
          <a:solidFill>
            <a:schemeClr val="accent3"/>
          </a:solidFill>
          <a:ln>
            <a:noFill/>
          </a:ln>
          <a:effectLst/>
        </c:spPr>
      </c:pivotFmt>
      <c:pivotFmt>
        <c:idx val="15"/>
        <c:spPr>
          <a:solidFill>
            <a:schemeClr val="accent4"/>
          </a:solidFill>
          <a:ln>
            <a:no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4-ECC3-433E-8DC9-0476F8707332}"/>
              </c:ext>
            </c:extLst>
          </c:dPt>
          <c:dPt>
            <c:idx val="1"/>
            <c:bubble3D val="0"/>
            <c:spPr>
              <a:solidFill>
                <a:schemeClr val="accent2"/>
              </a:solidFill>
              <a:ln>
                <a:noFill/>
              </a:ln>
              <a:effectLst/>
            </c:spPr>
            <c:extLst>
              <c:ext xmlns:c16="http://schemas.microsoft.com/office/drawing/2014/chart" uri="{C3380CC4-5D6E-409C-BE32-E72D297353CC}">
                <c16:uniqueId val="{00000006-ECC3-433E-8DC9-0476F8707332}"/>
              </c:ext>
            </c:extLst>
          </c:dPt>
          <c:dPt>
            <c:idx val="2"/>
            <c:bubble3D val="0"/>
            <c:spPr>
              <a:solidFill>
                <a:schemeClr val="accent3"/>
              </a:solidFill>
              <a:ln>
                <a:noFill/>
              </a:ln>
              <a:effectLst/>
            </c:spPr>
            <c:extLst>
              <c:ext xmlns:c16="http://schemas.microsoft.com/office/drawing/2014/chart" uri="{C3380CC4-5D6E-409C-BE32-E72D297353CC}">
                <c16:uniqueId val="{00000008-ECC3-433E-8DC9-0476F8707332}"/>
              </c:ext>
            </c:extLst>
          </c:dPt>
          <c:dPt>
            <c:idx val="3"/>
            <c:bubble3D val="0"/>
            <c:spPr>
              <a:solidFill>
                <a:schemeClr val="accent4"/>
              </a:solidFill>
              <a:ln>
                <a:noFill/>
              </a:ln>
              <a:effectLst/>
            </c:spPr>
            <c:extLst>
              <c:ext xmlns:c16="http://schemas.microsoft.com/office/drawing/2014/chart" uri="{C3380CC4-5D6E-409C-BE32-E72D297353CC}">
                <c16:uniqueId val="{0000000A-ECC3-433E-8DC9-0476F8707332}"/>
              </c:ext>
            </c:extLst>
          </c:dPt>
          <c:cat>
            <c:strRef>
              <c:f>Sheet6!$A$4:$A$8</c:f>
              <c:strCache>
                <c:ptCount val="4"/>
                <c:pt idx="0">
                  <c:v>Buffet</c:v>
                </c:pt>
                <c:pt idx="1">
                  <c:v>Cafes</c:v>
                </c:pt>
                <c:pt idx="2">
                  <c:v>Dining</c:v>
                </c:pt>
                <c:pt idx="3">
                  <c:v>other</c:v>
                </c:pt>
              </c:strCache>
            </c:strRef>
          </c:cat>
          <c:val>
            <c:numRef>
              <c:f>Sheet6!$B$4:$B$8</c:f>
              <c:numCache>
                <c:formatCode>General</c:formatCode>
                <c:ptCount val="4"/>
                <c:pt idx="0">
                  <c:v>7</c:v>
                </c:pt>
                <c:pt idx="1">
                  <c:v>23</c:v>
                </c:pt>
                <c:pt idx="2">
                  <c:v>110</c:v>
                </c:pt>
                <c:pt idx="3">
                  <c:v>8</c:v>
                </c:pt>
              </c:numCache>
            </c:numRef>
          </c:val>
          <c:extLst>
            <c:ext xmlns:c16="http://schemas.microsoft.com/office/drawing/2014/chart" uri="{C3380CC4-5D6E-409C-BE32-E72D297353CC}">
              <c16:uniqueId val="{0000000B-ECC3-433E-8DC9-0476F8707332}"/>
            </c:ext>
          </c:extLst>
        </c:ser>
        <c:dLbls>
          <c:showLegendKey val="0"/>
          <c:showVal val="0"/>
          <c:showCatName val="0"/>
          <c:showSerName val="0"/>
          <c:showPercent val="0"/>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rPr>
              <a:t>Top 10 Restaurants by Votes</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Empire Restaurant</c:v>
                </c:pt>
                <c:pt idx="1">
                  <c:v>Gustoes Beer House</c:v>
                </c:pt>
                <c:pt idx="2">
                  <c:v>Jeet Restaurant</c:v>
                </c:pt>
                <c:pt idx="3">
                  <c:v>Kabab Magic</c:v>
                </c:pt>
                <c:pt idx="4">
                  <c:v>Meghana Foods</c:v>
                </c:pt>
                <c:pt idx="5">
                  <c:v>Onesta</c:v>
                </c:pt>
                <c:pt idx="6">
                  <c:v>Recipe</c:v>
                </c:pt>
                <c:pt idx="7">
                  <c:v>Roving Feast</c:v>
                </c:pt>
                <c:pt idx="8">
                  <c:v>San Churro Cafe</c:v>
                </c:pt>
                <c:pt idx="9">
                  <c:v>Szechuan Dragon</c:v>
                </c:pt>
              </c:strCache>
            </c:strRef>
          </c:cat>
          <c:val>
            <c:numRef>
              <c:f>Sheet7!$B$4:$B$14</c:f>
              <c:numCache>
                <c:formatCode>General</c:formatCode>
                <c:ptCount val="10"/>
                <c:pt idx="0">
                  <c:v>4884</c:v>
                </c:pt>
                <c:pt idx="1">
                  <c:v>868</c:v>
                </c:pt>
                <c:pt idx="2">
                  <c:v>808</c:v>
                </c:pt>
                <c:pt idx="3">
                  <c:v>1720</c:v>
                </c:pt>
                <c:pt idx="4">
                  <c:v>4401</c:v>
                </c:pt>
                <c:pt idx="5">
                  <c:v>5112</c:v>
                </c:pt>
                <c:pt idx="6">
                  <c:v>804</c:v>
                </c:pt>
                <c:pt idx="7">
                  <c:v>1047</c:v>
                </c:pt>
                <c:pt idx="8">
                  <c:v>1836</c:v>
                </c:pt>
                <c:pt idx="9">
                  <c:v>1647</c:v>
                </c:pt>
              </c:numCache>
            </c:numRef>
          </c:val>
          <c:extLst>
            <c:ext xmlns:c16="http://schemas.microsoft.com/office/drawing/2014/chart" uri="{C3380CC4-5D6E-409C-BE32-E72D297353CC}">
              <c16:uniqueId val="{00000000-AC22-4650-AFEC-177C7711F941}"/>
            </c:ext>
          </c:extLst>
        </c:ser>
        <c:dLbls>
          <c:showLegendKey val="0"/>
          <c:showVal val="0"/>
          <c:showCatName val="0"/>
          <c:showSerName val="0"/>
          <c:showPercent val="0"/>
          <c:showBubbleSize val="0"/>
        </c:dLbls>
        <c:gapWidth val="219"/>
        <c:axId val="1360061376"/>
        <c:axId val="1360063296"/>
      </c:barChart>
      <c:catAx>
        <c:axId val="1360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063296"/>
        <c:crosses val="autoZero"/>
        <c:auto val="1"/>
        <c:lblAlgn val="ctr"/>
        <c:lblOffset val="100"/>
        <c:noMultiLvlLbl val="0"/>
      </c:catAx>
      <c:valAx>
        <c:axId val="136006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1"/>
              <a:t>Rate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C51-41F8-A640-53A076605BB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C51-41F8-A640-53A076605BB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C51-41F8-A640-53A076605BB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C51-41F8-A640-53A076605BB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C51-41F8-A640-53A076605B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Pivot_Data!$B$8:$F$8</c:f>
              <c:strCache>
                <c:ptCount val="5"/>
                <c:pt idx="0">
                  <c:v>2.5-3.0</c:v>
                </c:pt>
                <c:pt idx="1">
                  <c:v>3.0-3.5</c:v>
                </c:pt>
                <c:pt idx="2">
                  <c:v>3.5-4.0</c:v>
                </c:pt>
                <c:pt idx="3">
                  <c:v>4.0-4.5</c:v>
                </c:pt>
                <c:pt idx="4">
                  <c:v>4.5-5.0</c:v>
                </c:pt>
              </c:strCache>
            </c:strRef>
          </c:cat>
          <c:val>
            <c:numRef>
              <c:f>Pivot_Data!$B$9:$F$9</c:f>
              <c:numCache>
                <c:formatCode>General</c:formatCode>
                <c:ptCount val="5"/>
                <c:pt idx="0">
                  <c:v>10</c:v>
                </c:pt>
                <c:pt idx="1">
                  <c:v>42</c:v>
                </c:pt>
                <c:pt idx="2">
                  <c:v>62</c:v>
                </c:pt>
                <c:pt idx="3">
                  <c:v>32</c:v>
                </c:pt>
                <c:pt idx="4">
                  <c:v>2</c:v>
                </c:pt>
              </c:numCache>
            </c:numRef>
          </c:val>
          <c:extLst>
            <c:ext xmlns:c16="http://schemas.microsoft.com/office/drawing/2014/chart" uri="{C3380CC4-5D6E-409C-BE32-E72D297353CC}">
              <c16:uniqueId val="{00000000-345B-4D66-9EF7-B86367DD053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accent1">
                    <a:lumMod val="50000"/>
                  </a:schemeClr>
                </a:solidFill>
                <a:latin typeface="+mn-lt"/>
                <a:ea typeface="+mn-ea"/>
                <a:cs typeface="+mn-cs"/>
              </a:defRPr>
            </a:pPr>
            <a:r>
              <a:rPr lang="en-US" b="1">
                <a:solidFill>
                  <a:schemeClr val="accent1">
                    <a:lumMod val="50000"/>
                  </a:schemeClr>
                </a:solidFill>
              </a:rPr>
              <a:t>Rate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50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E35-4759-9154-7C94BF5E874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E35-4759-9154-7C94BF5E874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E35-4759-9154-7C94BF5E874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E35-4759-9154-7C94BF5E874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E35-4759-9154-7C94BF5E87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Pivot_Data!$B$8:$F$8</c:f>
              <c:strCache>
                <c:ptCount val="5"/>
                <c:pt idx="0">
                  <c:v>2.5-3.0</c:v>
                </c:pt>
                <c:pt idx="1">
                  <c:v>3.0-3.5</c:v>
                </c:pt>
                <c:pt idx="2">
                  <c:v>3.5-4.0</c:v>
                </c:pt>
                <c:pt idx="3">
                  <c:v>4.0-4.5</c:v>
                </c:pt>
                <c:pt idx="4">
                  <c:v>4.5-5.0</c:v>
                </c:pt>
              </c:strCache>
            </c:strRef>
          </c:cat>
          <c:val>
            <c:numRef>
              <c:f>Pivot_Data!$B$9:$F$9</c:f>
              <c:numCache>
                <c:formatCode>General</c:formatCode>
                <c:ptCount val="5"/>
                <c:pt idx="0">
                  <c:v>10</c:v>
                </c:pt>
                <c:pt idx="1">
                  <c:v>42</c:v>
                </c:pt>
                <c:pt idx="2">
                  <c:v>62</c:v>
                </c:pt>
                <c:pt idx="3">
                  <c:v>32</c:v>
                </c:pt>
                <c:pt idx="4">
                  <c:v>2</c:v>
                </c:pt>
              </c:numCache>
            </c:numRef>
          </c:val>
          <c:extLst>
            <c:ext xmlns:c16="http://schemas.microsoft.com/office/drawing/2014/chart" uri="{C3380CC4-5D6E-409C-BE32-E72D297353CC}">
              <c16:uniqueId val="{0000000A-3E35-4759-9154-7C94BF5E874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[Zomato_Dashboard.xlsx]Sheet6!PivotTable3</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rPr>
              <a:t>Market Share by Category</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36B-40CF-966E-45388983E1C4}"/>
              </c:ext>
            </c:extLst>
          </c:dPt>
          <c:dPt>
            <c:idx val="1"/>
            <c:bubble3D val="0"/>
            <c:spPr>
              <a:solidFill>
                <a:schemeClr val="accent2"/>
              </a:solidFill>
              <a:ln>
                <a:noFill/>
              </a:ln>
              <a:effectLst/>
            </c:spPr>
            <c:extLst>
              <c:ext xmlns:c16="http://schemas.microsoft.com/office/drawing/2014/chart" uri="{C3380CC4-5D6E-409C-BE32-E72D297353CC}">
                <c16:uniqueId val="{00000003-236B-40CF-966E-45388983E1C4}"/>
              </c:ext>
            </c:extLst>
          </c:dPt>
          <c:dPt>
            <c:idx val="2"/>
            <c:bubble3D val="0"/>
            <c:spPr>
              <a:solidFill>
                <a:schemeClr val="accent3"/>
              </a:solidFill>
              <a:ln>
                <a:noFill/>
              </a:ln>
              <a:effectLst/>
            </c:spPr>
            <c:extLst>
              <c:ext xmlns:c16="http://schemas.microsoft.com/office/drawing/2014/chart" uri="{C3380CC4-5D6E-409C-BE32-E72D297353CC}">
                <c16:uniqueId val="{00000005-236B-40CF-966E-45388983E1C4}"/>
              </c:ext>
            </c:extLst>
          </c:dPt>
          <c:dPt>
            <c:idx val="3"/>
            <c:bubble3D val="0"/>
            <c:spPr>
              <a:solidFill>
                <a:schemeClr val="accent4"/>
              </a:solidFill>
              <a:ln>
                <a:noFill/>
              </a:ln>
              <a:effectLst/>
            </c:spPr>
            <c:extLst>
              <c:ext xmlns:c16="http://schemas.microsoft.com/office/drawing/2014/chart" uri="{C3380CC4-5D6E-409C-BE32-E72D297353CC}">
                <c16:uniqueId val="{00000007-236B-40CF-966E-45388983E1C4}"/>
              </c:ext>
            </c:extLst>
          </c:dPt>
          <c:cat>
            <c:strRef>
              <c:f>Sheet6!$A$4:$A$8</c:f>
              <c:strCache>
                <c:ptCount val="4"/>
                <c:pt idx="0">
                  <c:v>Buffet</c:v>
                </c:pt>
                <c:pt idx="1">
                  <c:v>Cafes</c:v>
                </c:pt>
                <c:pt idx="2">
                  <c:v>Dining</c:v>
                </c:pt>
                <c:pt idx="3">
                  <c:v>other</c:v>
                </c:pt>
              </c:strCache>
            </c:strRef>
          </c:cat>
          <c:val>
            <c:numRef>
              <c:f>Sheet6!$B$4:$B$8</c:f>
              <c:numCache>
                <c:formatCode>General</c:formatCode>
                <c:ptCount val="4"/>
                <c:pt idx="0">
                  <c:v>7</c:v>
                </c:pt>
                <c:pt idx="1">
                  <c:v>23</c:v>
                </c:pt>
                <c:pt idx="2">
                  <c:v>110</c:v>
                </c:pt>
                <c:pt idx="3">
                  <c:v>8</c:v>
                </c:pt>
              </c:numCache>
            </c:numRef>
          </c:val>
          <c:extLst>
            <c:ext xmlns:c16="http://schemas.microsoft.com/office/drawing/2014/chart" uri="{C3380CC4-5D6E-409C-BE32-E72D297353CC}">
              <c16:uniqueId val="{00000008-236B-40CF-966E-45388983E1C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6">
        <a:lumMod val="20000"/>
        <a:lumOff val="80000"/>
      </a:schemeClr>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[Zomato_Dashboard.xlsx]Sheet5!PivotTable2</c:name>
    <c:fmtId val="6"/>
  </c:pivotSource>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r>
              <a:rPr lang="en-US" sz="1600" b="1" i="0" u="none" strike="noStrike" baseline="0">
                <a:solidFill>
                  <a:schemeClr val="accent1">
                    <a:lumMod val="50000"/>
                  </a:schemeClr>
                </a:solidFill>
              </a:rPr>
              <a:t>Restaurant Distribution by Cost</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High</c:v>
                </c:pt>
                <c:pt idx="1">
                  <c:v>Low</c:v>
                </c:pt>
                <c:pt idx="2">
                  <c:v>Medium</c:v>
                </c:pt>
              </c:strCache>
            </c:strRef>
          </c:cat>
          <c:val>
            <c:numRef>
              <c:f>Sheet5!$B$4:$B$7</c:f>
              <c:numCache>
                <c:formatCode>General</c:formatCode>
                <c:ptCount val="3"/>
                <c:pt idx="0">
                  <c:v>25</c:v>
                </c:pt>
                <c:pt idx="1">
                  <c:v>44</c:v>
                </c:pt>
                <c:pt idx="2">
                  <c:v>79</c:v>
                </c:pt>
              </c:numCache>
            </c:numRef>
          </c:val>
          <c:extLst>
            <c:ext xmlns:c16="http://schemas.microsoft.com/office/drawing/2014/chart" uri="{C3380CC4-5D6E-409C-BE32-E72D297353CC}">
              <c16:uniqueId val="{00000000-5646-4BB0-98EC-4EC2D9FF4A75}"/>
            </c:ext>
          </c:extLst>
        </c:ser>
        <c:dLbls>
          <c:showLegendKey val="0"/>
          <c:showVal val="0"/>
          <c:showCatName val="0"/>
          <c:showSerName val="0"/>
          <c:showPercent val="0"/>
          <c:showBubbleSize val="0"/>
        </c:dLbls>
        <c:gapWidth val="219"/>
        <c:axId val="1064277248"/>
        <c:axId val="1064278208"/>
      </c:barChart>
      <c:catAx>
        <c:axId val="10642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78208"/>
        <c:crosses val="autoZero"/>
        <c:auto val="1"/>
        <c:lblAlgn val="ctr"/>
        <c:lblOffset val="100"/>
        <c:noMultiLvlLbl val="0"/>
      </c:catAx>
      <c:valAx>
        <c:axId val="106427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[Zomato_Dashboard.xlsx]Sheet4!PivotTable1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rPr>
              <a:t>Ratings &amp; Votes by Restaurant Type</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Sheet4!$C$1</c:f>
              <c:strCache>
                <c:ptCount val="1"/>
                <c:pt idx="0">
                  <c:v>Sum of votes</c:v>
                </c:pt>
              </c:strCache>
            </c:strRef>
          </c:tx>
          <c:spPr>
            <a:solidFill>
              <a:schemeClr val="accent2"/>
            </a:solidFill>
            <a:ln>
              <a:noFill/>
            </a:ln>
            <a:effectLst/>
          </c:spPr>
          <c:invertIfNegative val="0"/>
          <c:cat>
            <c:strRef>
              <c:f>Sheet4!$A$2:$A$6</c:f>
              <c:strCache>
                <c:ptCount val="4"/>
                <c:pt idx="0">
                  <c:v>Buffet</c:v>
                </c:pt>
                <c:pt idx="1">
                  <c:v>Cafes</c:v>
                </c:pt>
                <c:pt idx="2">
                  <c:v>Dining</c:v>
                </c:pt>
                <c:pt idx="3">
                  <c:v>other</c:v>
                </c:pt>
              </c:strCache>
            </c:strRef>
          </c:cat>
          <c:val>
            <c:numRef>
              <c:f>Sheet4!$C$2:$C$6</c:f>
              <c:numCache>
                <c:formatCode>General</c:formatCode>
                <c:ptCount val="4"/>
                <c:pt idx="0">
                  <c:v>3028</c:v>
                </c:pt>
                <c:pt idx="1">
                  <c:v>6434</c:v>
                </c:pt>
                <c:pt idx="2">
                  <c:v>20363</c:v>
                </c:pt>
                <c:pt idx="3">
                  <c:v>9367</c:v>
                </c:pt>
              </c:numCache>
            </c:numRef>
          </c:val>
          <c:extLst>
            <c:ext xmlns:c16="http://schemas.microsoft.com/office/drawing/2014/chart" uri="{C3380CC4-5D6E-409C-BE32-E72D297353CC}">
              <c16:uniqueId val="{00000000-EE00-4D7D-A40E-2D730BE19C22}"/>
            </c:ext>
          </c:extLst>
        </c:ser>
        <c:dLbls>
          <c:showLegendKey val="0"/>
          <c:showVal val="0"/>
          <c:showCatName val="0"/>
          <c:showSerName val="0"/>
          <c:showPercent val="0"/>
          <c:showBubbleSize val="0"/>
        </c:dLbls>
        <c:gapWidth val="219"/>
        <c:axId val="2033366960"/>
        <c:axId val="2033371760"/>
      </c:barChart>
      <c:lineChart>
        <c:grouping val="stacked"/>
        <c:varyColors val="0"/>
        <c:ser>
          <c:idx val="0"/>
          <c:order val="0"/>
          <c:tx>
            <c:strRef>
              <c:f>Sheet4!$B$1</c:f>
              <c:strCache>
                <c:ptCount val="1"/>
                <c:pt idx="0">
                  <c:v>Average of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Sheet4!$A$2:$A$6</c:f>
              <c:strCache>
                <c:ptCount val="4"/>
                <c:pt idx="0">
                  <c:v>Buffet</c:v>
                </c:pt>
                <c:pt idx="1">
                  <c:v>Cafes</c:v>
                </c:pt>
                <c:pt idx="2">
                  <c:v>Dining</c:v>
                </c:pt>
                <c:pt idx="3">
                  <c:v>other</c:v>
                </c:pt>
              </c:strCache>
            </c:strRef>
          </c:cat>
          <c:val>
            <c:numRef>
              <c:f>Sheet4!$B$2:$B$6</c:f>
              <c:numCache>
                <c:formatCode>0.00</c:formatCode>
                <c:ptCount val="4"/>
                <c:pt idx="0">
                  <c:v>3.842857142857143</c:v>
                </c:pt>
                <c:pt idx="1">
                  <c:v>3.7652173913043474</c:v>
                </c:pt>
                <c:pt idx="2">
                  <c:v>3.5718181818181796</c:v>
                </c:pt>
                <c:pt idx="3">
                  <c:v>3.9124999999999996</c:v>
                </c:pt>
              </c:numCache>
            </c:numRef>
          </c:val>
          <c:smooth val="0"/>
          <c:extLst>
            <c:ext xmlns:c16="http://schemas.microsoft.com/office/drawing/2014/chart" uri="{C3380CC4-5D6E-409C-BE32-E72D297353CC}">
              <c16:uniqueId val="{00000001-EE00-4D7D-A40E-2D730BE19C22}"/>
            </c:ext>
          </c:extLst>
        </c:ser>
        <c:dLbls>
          <c:showLegendKey val="0"/>
          <c:showVal val="0"/>
          <c:showCatName val="0"/>
          <c:showSerName val="0"/>
          <c:showPercent val="0"/>
          <c:showBubbleSize val="0"/>
        </c:dLbls>
        <c:marker val="1"/>
        <c:smooth val="0"/>
        <c:axId val="1994028976"/>
        <c:axId val="1994026096"/>
      </c:lineChart>
      <c:catAx>
        <c:axId val="199402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26096"/>
        <c:crosses val="autoZero"/>
        <c:auto val="1"/>
        <c:lblAlgn val="ctr"/>
        <c:lblOffset val="100"/>
        <c:noMultiLvlLbl val="0"/>
      </c:catAx>
      <c:valAx>
        <c:axId val="19940260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28976"/>
        <c:crosses val="autoZero"/>
        <c:crossBetween val="between"/>
      </c:valAx>
      <c:valAx>
        <c:axId val="2033371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366960"/>
        <c:crosses val="max"/>
        <c:crossBetween val="between"/>
      </c:valAx>
      <c:catAx>
        <c:axId val="2033366960"/>
        <c:scaling>
          <c:orientation val="minMax"/>
        </c:scaling>
        <c:delete val="1"/>
        <c:axPos val="b"/>
        <c:numFmt formatCode="General" sourceLinked="1"/>
        <c:majorTickMark val="out"/>
        <c:minorTickMark val="none"/>
        <c:tickLblPos val="nextTo"/>
        <c:crossAx val="2033371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[Zomato_Dashboard.xlsx]Sheet7!PivotTable4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rPr>
              <a:t>Top 10 Restaurants by Votes</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Empire Restaurant</c:v>
                </c:pt>
                <c:pt idx="1">
                  <c:v>Gustoes Beer House</c:v>
                </c:pt>
                <c:pt idx="2">
                  <c:v>Jeet Restaurant</c:v>
                </c:pt>
                <c:pt idx="3">
                  <c:v>Kabab Magic</c:v>
                </c:pt>
                <c:pt idx="4">
                  <c:v>Meghana Foods</c:v>
                </c:pt>
                <c:pt idx="5">
                  <c:v>Onesta</c:v>
                </c:pt>
                <c:pt idx="6">
                  <c:v>Recipe</c:v>
                </c:pt>
                <c:pt idx="7">
                  <c:v>Roving Feast</c:v>
                </c:pt>
                <c:pt idx="8">
                  <c:v>San Churro Cafe</c:v>
                </c:pt>
                <c:pt idx="9">
                  <c:v>Szechuan Dragon</c:v>
                </c:pt>
              </c:strCache>
            </c:strRef>
          </c:cat>
          <c:val>
            <c:numRef>
              <c:f>Sheet7!$B$4:$B$14</c:f>
              <c:numCache>
                <c:formatCode>General</c:formatCode>
                <c:ptCount val="10"/>
                <c:pt idx="0">
                  <c:v>4884</c:v>
                </c:pt>
                <c:pt idx="1">
                  <c:v>868</c:v>
                </c:pt>
                <c:pt idx="2">
                  <c:v>808</c:v>
                </c:pt>
                <c:pt idx="3">
                  <c:v>1720</c:v>
                </c:pt>
                <c:pt idx="4">
                  <c:v>4401</c:v>
                </c:pt>
                <c:pt idx="5">
                  <c:v>5112</c:v>
                </c:pt>
                <c:pt idx="6">
                  <c:v>804</c:v>
                </c:pt>
                <c:pt idx="7">
                  <c:v>1047</c:v>
                </c:pt>
                <c:pt idx="8">
                  <c:v>1836</c:v>
                </c:pt>
                <c:pt idx="9">
                  <c:v>1647</c:v>
                </c:pt>
              </c:numCache>
            </c:numRef>
          </c:val>
          <c:extLst>
            <c:ext xmlns:c16="http://schemas.microsoft.com/office/drawing/2014/chart" uri="{C3380CC4-5D6E-409C-BE32-E72D297353CC}">
              <c16:uniqueId val="{00000000-CDB3-4132-AE3B-E232AAF97712}"/>
            </c:ext>
          </c:extLst>
        </c:ser>
        <c:dLbls>
          <c:showLegendKey val="0"/>
          <c:showVal val="0"/>
          <c:showCatName val="0"/>
          <c:showSerName val="0"/>
          <c:showPercent val="0"/>
          <c:showBubbleSize val="0"/>
        </c:dLbls>
        <c:gapWidth val="219"/>
        <c:axId val="1360061376"/>
        <c:axId val="1360063296"/>
      </c:barChart>
      <c:catAx>
        <c:axId val="1360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063296"/>
        <c:crosses val="autoZero"/>
        <c:auto val="1"/>
        <c:lblAlgn val="ctr"/>
        <c:lblOffset val="100"/>
        <c:noMultiLvlLbl val="0"/>
      </c:catAx>
      <c:valAx>
        <c:axId val="136006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8.xml"/><Relationship Id="rId7" Type="http://schemas.openxmlformats.org/officeDocument/2006/relationships/image" Target="../media/image4.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chart" Target="../charts/chart10.xml"/><Relationship Id="rId4" Type="http://schemas.openxmlformats.org/officeDocument/2006/relationships/image" Target="../media/image1.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8BB95BE-F283-C914-DFDD-822DCAE15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xdr:colOff>
      <xdr:row>6</xdr:row>
      <xdr:rowOff>148590</xdr:rowOff>
    </xdr:from>
    <xdr:to>
      <xdr:col>12</xdr:col>
      <xdr:colOff>388620</xdr:colOff>
      <xdr:row>21</xdr:row>
      <xdr:rowOff>148590</xdr:rowOff>
    </xdr:to>
    <xdr:graphicFrame macro="">
      <xdr:nvGraphicFramePr>
        <xdr:cNvPr id="2" name="Chart 1">
          <a:extLst>
            <a:ext uri="{FF2B5EF4-FFF2-40B4-BE49-F238E27FC236}">
              <a16:creationId xmlns:a16="http://schemas.microsoft.com/office/drawing/2014/main" id="{684E0CD3-3D04-90F9-1449-1C6919D92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480060</xdr:colOff>
      <xdr:row>5</xdr:row>
      <xdr:rowOff>49530</xdr:rowOff>
    </xdr:from>
    <xdr:to>
      <xdr:col>16</xdr:col>
      <xdr:colOff>175260</xdr:colOff>
      <xdr:row>20</xdr:row>
      <xdr:rowOff>49530</xdr:rowOff>
    </xdr:to>
    <xdr:graphicFrame macro="">
      <xdr:nvGraphicFramePr>
        <xdr:cNvPr id="2" name="Chart 1">
          <a:extLst>
            <a:ext uri="{FF2B5EF4-FFF2-40B4-BE49-F238E27FC236}">
              <a16:creationId xmlns:a16="http://schemas.microsoft.com/office/drawing/2014/main" id="{75E6125B-9C1F-C845-00D4-8CAD1D155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xdr:row>
      <xdr:rowOff>171450</xdr:rowOff>
    </xdr:from>
    <xdr:to>
      <xdr:col>12</xdr:col>
      <xdr:colOff>586740</xdr:colOff>
      <xdr:row>20</xdr:row>
      <xdr:rowOff>76200</xdr:rowOff>
    </xdr:to>
    <xdr:graphicFrame macro="">
      <xdr:nvGraphicFramePr>
        <xdr:cNvPr id="2" name="Chart 1">
          <a:extLst>
            <a:ext uri="{FF2B5EF4-FFF2-40B4-BE49-F238E27FC236}">
              <a16:creationId xmlns:a16="http://schemas.microsoft.com/office/drawing/2014/main" id="{FEDEA8A2-0D88-34FC-6E35-659B25BEC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91440</xdr:colOff>
      <xdr:row>6</xdr:row>
      <xdr:rowOff>140970</xdr:rowOff>
    </xdr:from>
    <xdr:to>
      <xdr:col>14</xdr:col>
      <xdr:colOff>396240</xdr:colOff>
      <xdr:row>21</xdr:row>
      <xdr:rowOff>125730</xdr:rowOff>
    </xdr:to>
    <xdr:graphicFrame macro="">
      <xdr:nvGraphicFramePr>
        <xdr:cNvPr id="2" name="Chart 1">
          <a:extLst>
            <a:ext uri="{FF2B5EF4-FFF2-40B4-BE49-F238E27FC236}">
              <a16:creationId xmlns:a16="http://schemas.microsoft.com/office/drawing/2014/main" id="{CE72C852-ADD4-560C-9B81-C60CA4996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55</xdr:col>
      <xdr:colOff>144780</xdr:colOff>
      <xdr:row>0</xdr:row>
      <xdr:rowOff>0</xdr:rowOff>
    </xdr:from>
    <xdr:to>
      <xdr:col>65</xdr:col>
      <xdr:colOff>68580</xdr:colOff>
      <xdr:row>7</xdr:row>
      <xdr:rowOff>99060</xdr:rowOff>
    </xdr:to>
    <mc:AlternateContent xmlns:mc="http://schemas.openxmlformats.org/markup-compatibility/2006" xmlns:sle15="http://schemas.microsoft.com/office/drawing/2012/slicer">
      <mc:Choice Requires="sle15">
        <xdr:graphicFrame macro="">
          <xdr:nvGraphicFramePr>
            <xdr:cNvPr id="5" name="online_order">
              <a:extLst>
                <a:ext uri="{FF2B5EF4-FFF2-40B4-BE49-F238E27FC236}">
                  <a16:creationId xmlns:a16="http://schemas.microsoft.com/office/drawing/2014/main" id="{CE51108F-3124-45F5-ABF5-41708D9ED988}"/>
                </a:ext>
              </a:extLst>
            </xdr:cNvPr>
            <xdr:cNvGraphicFramePr/>
          </xdr:nvGraphicFramePr>
          <xdr:xfrm>
            <a:off x="0" y="0"/>
            <a:ext cx="0" cy="0"/>
          </xdr:xfrm>
          <a:graphic>
            <a:graphicData uri="http://schemas.microsoft.com/office/drawing/2010/slicer">
              <sle:slicer xmlns:sle="http://schemas.microsoft.com/office/drawing/2010/slicer" name="online_order"/>
            </a:graphicData>
          </a:graphic>
        </xdr:graphicFrame>
      </mc:Choice>
      <mc:Fallback xmlns="">
        <xdr:sp macro="" textlink="">
          <xdr:nvSpPr>
            <xdr:cNvPr id="0" name=""/>
            <xdr:cNvSpPr>
              <a:spLocks noTextEdit="1"/>
            </xdr:cNvSpPr>
          </xdr:nvSpPr>
          <xdr:spPr>
            <a:xfrm>
              <a:off x="10622280" y="0"/>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65</xdr:col>
      <xdr:colOff>68580</xdr:colOff>
      <xdr:row>0</xdr:row>
      <xdr:rowOff>0</xdr:rowOff>
    </xdr:from>
    <xdr:to>
      <xdr:col>74</xdr:col>
      <xdr:colOff>182880</xdr:colOff>
      <xdr:row>7</xdr:row>
      <xdr:rowOff>102108</xdr:rowOff>
    </xdr:to>
    <mc:AlternateContent xmlns:mc="http://schemas.openxmlformats.org/markup-compatibility/2006" xmlns:sle15="http://schemas.microsoft.com/office/drawing/2012/slicer">
      <mc:Choice Requires="sle15">
        <xdr:graphicFrame macro="">
          <xdr:nvGraphicFramePr>
            <xdr:cNvPr id="6" name="listed_in(type)">
              <a:extLst>
                <a:ext uri="{FF2B5EF4-FFF2-40B4-BE49-F238E27FC236}">
                  <a16:creationId xmlns:a16="http://schemas.microsoft.com/office/drawing/2014/main" id="{045E97D8-F5DD-4253-BC7D-274F0B2F9D3A}"/>
                </a:ext>
              </a:extLst>
            </xdr:cNvPr>
            <xdr:cNvGraphicFramePr/>
          </xdr:nvGraphicFramePr>
          <xdr:xfrm>
            <a:off x="0" y="0"/>
            <a:ext cx="0" cy="0"/>
          </xdr:xfrm>
          <a:graphic>
            <a:graphicData uri="http://schemas.microsoft.com/office/drawing/2010/slicer">
              <sle:slicer xmlns:sle="http://schemas.microsoft.com/office/drawing/2010/slicer" name="listed_in(type)"/>
            </a:graphicData>
          </a:graphic>
        </xdr:graphicFrame>
      </mc:Choice>
      <mc:Fallback xmlns="">
        <xdr:sp macro="" textlink="">
          <xdr:nvSpPr>
            <xdr:cNvPr id="0" name=""/>
            <xdr:cNvSpPr>
              <a:spLocks noTextEdit="1"/>
            </xdr:cNvSpPr>
          </xdr:nvSpPr>
          <xdr:spPr>
            <a:xfrm>
              <a:off x="12451080" y="0"/>
              <a:ext cx="1828800" cy="143560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74</xdr:col>
      <xdr:colOff>167640</xdr:colOff>
      <xdr:row>0</xdr:row>
      <xdr:rowOff>0</xdr:rowOff>
    </xdr:from>
    <xdr:to>
      <xdr:col>84</xdr:col>
      <xdr:colOff>91440</xdr:colOff>
      <xdr:row>7</xdr:row>
      <xdr:rowOff>102108</xdr:rowOff>
    </xdr:to>
    <mc:AlternateContent xmlns:mc="http://schemas.openxmlformats.org/markup-compatibility/2006" xmlns:sle15="http://schemas.microsoft.com/office/drawing/2012/slicer">
      <mc:Choice Requires="sle15">
        <xdr:graphicFrame macro="">
          <xdr:nvGraphicFramePr>
            <xdr:cNvPr id="7" name="cost_category">
              <a:extLst>
                <a:ext uri="{FF2B5EF4-FFF2-40B4-BE49-F238E27FC236}">
                  <a16:creationId xmlns:a16="http://schemas.microsoft.com/office/drawing/2014/main" id="{EFF46942-ED7C-49BA-AD49-178BD08A6FD5}"/>
                </a:ext>
              </a:extLst>
            </xdr:cNvPr>
            <xdr:cNvGraphicFramePr/>
          </xdr:nvGraphicFramePr>
          <xdr:xfrm>
            <a:off x="0" y="0"/>
            <a:ext cx="0" cy="0"/>
          </xdr:xfrm>
          <a:graphic>
            <a:graphicData uri="http://schemas.microsoft.com/office/drawing/2010/slicer">
              <sle:slicer xmlns:sle="http://schemas.microsoft.com/office/drawing/2010/slicer" name="cost_category"/>
            </a:graphicData>
          </a:graphic>
        </xdr:graphicFrame>
      </mc:Choice>
      <mc:Fallback xmlns="">
        <xdr:sp macro="" textlink="">
          <xdr:nvSpPr>
            <xdr:cNvPr id="0" name=""/>
            <xdr:cNvSpPr>
              <a:spLocks noTextEdit="1"/>
            </xdr:cNvSpPr>
          </xdr:nvSpPr>
          <xdr:spPr>
            <a:xfrm>
              <a:off x="14264640" y="0"/>
              <a:ext cx="1828800" cy="143560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95250</xdr:colOff>
      <xdr:row>0</xdr:row>
      <xdr:rowOff>121920</xdr:rowOff>
    </xdr:from>
    <xdr:to>
      <xdr:col>55</xdr:col>
      <xdr:colOff>60960</xdr:colOff>
      <xdr:row>4</xdr:row>
      <xdr:rowOff>144780</xdr:rowOff>
    </xdr:to>
    <xdr:sp macro="" textlink="">
      <xdr:nvSpPr>
        <xdr:cNvPr id="8" name="Rectangle: Rounded Corners 7">
          <a:extLst>
            <a:ext uri="{FF2B5EF4-FFF2-40B4-BE49-F238E27FC236}">
              <a16:creationId xmlns:a16="http://schemas.microsoft.com/office/drawing/2014/main" id="{48FB60BA-D553-909A-3C45-DECA5A8F4440}"/>
            </a:ext>
          </a:extLst>
        </xdr:cNvPr>
        <xdr:cNvSpPr/>
      </xdr:nvSpPr>
      <xdr:spPr>
        <a:xfrm>
          <a:off x="95250" y="121920"/>
          <a:ext cx="10443210" cy="784860"/>
        </a:xfrm>
        <a:prstGeom prst="roundRect">
          <a:avLst>
            <a:gd name="adj" fmla="val 45793"/>
          </a:avLst>
        </a:prstGeom>
        <a:solidFill>
          <a:schemeClr val="accent2">
            <a:lumMod val="75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2000">
              <a:latin typeface="Arial Rounded MT Bold" panose="020F0704030504030204" pitchFamily="34" charset="0"/>
            </a:rPr>
            <a:t>Zomato Restaurant Analytics Dashboard</a:t>
          </a:r>
        </a:p>
      </xdr:txBody>
    </xdr:sp>
    <xdr:clientData/>
  </xdr:twoCellAnchor>
  <xdr:twoCellAnchor>
    <xdr:from>
      <xdr:col>1</xdr:col>
      <xdr:colOff>51953</xdr:colOff>
      <xdr:row>8</xdr:row>
      <xdr:rowOff>121228</xdr:rowOff>
    </xdr:from>
    <xdr:to>
      <xdr:col>15</xdr:col>
      <xdr:colOff>51955</xdr:colOff>
      <xdr:row>15</xdr:row>
      <xdr:rowOff>112568</xdr:rowOff>
    </xdr:to>
    <xdr:sp macro="" textlink="Pivot_Data!B1">
      <xdr:nvSpPr>
        <xdr:cNvPr id="16" name="Rectangle: Rounded Corners 15">
          <a:extLst>
            <a:ext uri="{FF2B5EF4-FFF2-40B4-BE49-F238E27FC236}">
              <a16:creationId xmlns:a16="http://schemas.microsoft.com/office/drawing/2014/main" id="{10968D6B-9739-2FC7-5271-9EB86F2A058B}"/>
            </a:ext>
          </a:extLst>
        </xdr:cNvPr>
        <xdr:cNvSpPr/>
      </xdr:nvSpPr>
      <xdr:spPr>
        <a:xfrm>
          <a:off x="242453" y="1645228"/>
          <a:ext cx="2667002" cy="132484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6">
                  <a:lumMod val="50000"/>
                </a:schemeClr>
              </a:solidFill>
              <a:latin typeface="Calibri"/>
              <a:ea typeface="Calibri"/>
              <a:cs typeface="Calibri"/>
            </a:rPr>
            <a:t>Total Restaurants</a:t>
          </a:r>
        </a:p>
        <a:p>
          <a:pPr algn="ctr"/>
          <a:endParaRPr lang="en-US" sz="1600" b="1" i="0" u="none" strike="noStrike">
            <a:solidFill>
              <a:schemeClr val="accent6">
                <a:lumMod val="50000"/>
              </a:schemeClr>
            </a:solidFill>
            <a:latin typeface="Calibri"/>
            <a:ea typeface="Calibri"/>
            <a:cs typeface="Calibri"/>
          </a:endParaRPr>
        </a:p>
        <a:p>
          <a:pPr algn="ctr"/>
          <a:r>
            <a:rPr lang="en-US" sz="1600" b="1" i="0" u="none" strike="noStrike">
              <a:solidFill>
                <a:schemeClr val="accent6">
                  <a:lumMod val="50000"/>
                </a:schemeClr>
              </a:solidFill>
              <a:latin typeface="Calibri"/>
              <a:ea typeface="Calibri"/>
              <a:cs typeface="Calibri"/>
            </a:rPr>
            <a:t>           148</a:t>
          </a:r>
        </a:p>
        <a:p>
          <a:pPr algn="ctr"/>
          <a:endParaRPr lang="en-US" sz="1600" b="1" i="0" u="none" strike="noStrike">
            <a:solidFill>
              <a:schemeClr val="accent6">
                <a:lumMod val="50000"/>
              </a:schemeClr>
            </a:solidFill>
            <a:latin typeface="Calibri"/>
            <a:ea typeface="Calibri"/>
            <a:cs typeface="Calibri"/>
          </a:endParaRPr>
        </a:p>
      </xdr:txBody>
    </xdr:sp>
    <xdr:clientData/>
  </xdr:twoCellAnchor>
  <xdr:twoCellAnchor>
    <xdr:from>
      <xdr:col>17</xdr:col>
      <xdr:colOff>139585</xdr:colOff>
      <xdr:row>8</xdr:row>
      <xdr:rowOff>117418</xdr:rowOff>
    </xdr:from>
    <xdr:to>
      <xdr:col>31</xdr:col>
      <xdr:colOff>142633</xdr:colOff>
      <xdr:row>15</xdr:row>
      <xdr:rowOff>109798</xdr:rowOff>
    </xdr:to>
    <xdr:sp macro="" textlink="Pivot_Data!B2">
      <xdr:nvSpPr>
        <xdr:cNvPr id="21" name="Rectangle: Rounded Corners 20">
          <a:extLst>
            <a:ext uri="{FF2B5EF4-FFF2-40B4-BE49-F238E27FC236}">
              <a16:creationId xmlns:a16="http://schemas.microsoft.com/office/drawing/2014/main" id="{70F4361B-1B32-4EE8-8A3E-A7CBB1C39C5B}"/>
            </a:ext>
          </a:extLst>
        </xdr:cNvPr>
        <xdr:cNvSpPr/>
      </xdr:nvSpPr>
      <xdr:spPr>
        <a:xfrm>
          <a:off x="3378085" y="1641418"/>
          <a:ext cx="2670048" cy="132588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accent6">
                  <a:lumMod val="50000"/>
                </a:schemeClr>
              </a:solidFill>
              <a:latin typeface="Calibri"/>
              <a:ea typeface="Calibri"/>
              <a:cs typeface="Calibri"/>
            </a:rPr>
            <a:t>Average Rating</a:t>
          </a:r>
        </a:p>
        <a:p>
          <a:pPr algn="ctr"/>
          <a:endParaRPr lang="en-US" sz="1600" b="1" i="0" u="none" strike="noStrike">
            <a:solidFill>
              <a:schemeClr val="accent6">
                <a:lumMod val="50000"/>
              </a:schemeClr>
            </a:solidFill>
            <a:latin typeface="Calibri"/>
            <a:ea typeface="Calibri"/>
            <a:cs typeface="Calibri"/>
          </a:endParaRPr>
        </a:p>
        <a:p>
          <a:pPr algn="ctr"/>
          <a:r>
            <a:rPr lang="en-US" sz="1600" b="1" i="0" u="none" strike="noStrike">
              <a:solidFill>
                <a:schemeClr val="accent6">
                  <a:lumMod val="50000"/>
                </a:schemeClr>
              </a:solidFill>
              <a:latin typeface="Calibri"/>
              <a:ea typeface="Calibri"/>
              <a:cs typeface="Calibri"/>
            </a:rPr>
            <a:t>           3.63</a:t>
          </a:r>
        </a:p>
        <a:p>
          <a:pPr algn="ctr"/>
          <a:endParaRPr lang="en-US" sz="1600" b="1">
            <a:solidFill>
              <a:schemeClr val="accent6">
                <a:lumMod val="50000"/>
              </a:schemeClr>
            </a:solidFill>
          </a:endParaRPr>
        </a:p>
      </xdr:txBody>
    </xdr:sp>
    <xdr:clientData/>
  </xdr:twoCellAnchor>
  <xdr:twoCellAnchor>
    <xdr:from>
      <xdr:col>34</xdr:col>
      <xdr:colOff>148589</xdr:colOff>
      <xdr:row>8</xdr:row>
      <xdr:rowOff>101138</xdr:rowOff>
    </xdr:from>
    <xdr:to>
      <xdr:col>48</xdr:col>
      <xdr:colOff>151637</xdr:colOff>
      <xdr:row>15</xdr:row>
      <xdr:rowOff>93518</xdr:rowOff>
    </xdr:to>
    <xdr:sp macro="" textlink="Pivot_Data!B3">
      <xdr:nvSpPr>
        <xdr:cNvPr id="22" name="Rectangle: Rounded Corners 21">
          <a:extLst>
            <a:ext uri="{FF2B5EF4-FFF2-40B4-BE49-F238E27FC236}">
              <a16:creationId xmlns:a16="http://schemas.microsoft.com/office/drawing/2014/main" id="{19CA130F-69E4-4548-ABF9-82A12A3DDB0F}"/>
            </a:ext>
          </a:extLst>
        </xdr:cNvPr>
        <xdr:cNvSpPr/>
      </xdr:nvSpPr>
      <xdr:spPr>
        <a:xfrm>
          <a:off x="6625589" y="1625138"/>
          <a:ext cx="2670048" cy="132588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6">
                  <a:lumMod val="50000"/>
                </a:schemeClr>
              </a:solidFill>
              <a:latin typeface="Calibri"/>
              <a:ea typeface="Calibri"/>
              <a:cs typeface="Calibri"/>
            </a:rPr>
            <a:t>Average Cost</a:t>
          </a:r>
        </a:p>
        <a:p>
          <a:pPr algn="ctr"/>
          <a:endParaRPr lang="en-US" sz="1600" b="1" i="0" u="none" strike="noStrike">
            <a:solidFill>
              <a:schemeClr val="accent6">
                <a:lumMod val="50000"/>
              </a:schemeClr>
            </a:solidFill>
            <a:latin typeface="Calibri"/>
            <a:ea typeface="Calibri"/>
            <a:cs typeface="Calibri"/>
          </a:endParaRPr>
        </a:p>
        <a:p>
          <a:pPr algn="ctr"/>
          <a:r>
            <a:rPr lang="en-US" sz="1600" b="1" i="0" u="none" strike="noStrike">
              <a:solidFill>
                <a:schemeClr val="accent6">
                  <a:lumMod val="50000"/>
                </a:schemeClr>
              </a:solidFill>
              <a:latin typeface="Calibri"/>
              <a:ea typeface="Calibri"/>
              <a:cs typeface="Calibri"/>
            </a:rPr>
            <a:t>                 418.24</a:t>
          </a:r>
        </a:p>
        <a:p>
          <a:pPr algn="ctr"/>
          <a:endParaRPr lang="en-US" sz="1600" b="1">
            <a:solidFill>
              <a:schemeClr val="accent6">
                <a:lumMod val="50000"/>
              </a:schemeClr>
            </a:solidFill>
          </a:endParaRPr>
        </a:p>
      </xdr:txBody>
    </xdr:sp>
    <xdr:clientData/>
  </xdr:twoCellAnchor>
  <xdr:twoCellAnchor>
    <xdr:from>
      <xdr:col>52</xdr:col>
      <xdr:colOff>111877</xdr:colOff>
      <xdr:row>8</xdr:row>
      <xdr:rowOff>89016</xdr:rowOff>
    </xdr:from>
    <xdr:to>
      <xdr:col>66</xdr:col>
      <xdr:colOff>114925</xdr:colOff>
      <xdr:row>15</xdr:row>
      <xdr:rowOff>81396</xdr:rowOff>
    </xdr:to>
    <xdr:sp macro="" textlink="Pivot_Data!B4">
      <xdr:nvSpPr>
        <xdr:cNvPr id="23" name="Rectangle: Rounded Corners 22">
          <a:extLst>
            <a:ext uri="{FF2B5EF4-FFF2-40B4-BE49-F238E27FC236}">
              <a16:creationId xmlns:a16="http://schemas.microsoft.com/office/drawing/2014/main" id="{781CC49F-9353-4B68-8BE0-90208079FCB8}"/>
            </a:ext>
          </a:extLst>
        </xdr:cNvPr>
        <xdr:cNvSpPr/>
      </xdr:nvSpPr>
      <xdr:spPr>
        <a:xfrm>
          <a:off x="10017877" y="1613016"/>
          <a:ext cx="2670048" cy="132588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6">
                  <a:lumMod val="50000"/>
                </a:schemeClr>
              </a:solidFill>
              <a:latin typeface="Calibri"/>
              <a:ea typeface="Calibri"/>
              <a:cs typeface="Calibri"/>
            </a:rPr>
            <a:t>Online Order %</a:t>
          </a:r>
        </a:p>
        <a:p>
          <a:pPr algn="ctr"/>
          <a:endParaRPr lang="en-US" sz="1600" b="1" i="0" u="none" strike="noStrike">
            <a:solidFill>
              <a:schemeClr val="accent6">
                <a:lumMod val="50000"/>
              </a:schemeClr>
            </a:solidFill>
            <a:latin typeface="Calibri"/>
            <a:ea typeface="Calibri"/>
            <a:cs typeface="Calibri"/>
          </a:endParaRPr>
        </a:p>
        <a:p>
          <a:pPr algn="ctr"/>
          <a:r>
            <a:rPr lang="en-US" sz="1600" b="1" i="0" u="none" strike="noStrike">
              <a:solidFill>
                <a:schemeClr val="accent6">
                  <a:lumMod val="50000"/>
                </a:schemeClr>
              </a:solidFill>
              <a:latin typeface="Calibri"/>
              <a:ea typeface="Calibri"/>
              <a:cs typeface="Calibri"/>
            </a:rPr>
            <a:t>               39%</a:t>
          </a:r>
        </a:p>
      </xdr:txBody>
    </xdr:sp>
    <xdr:clientData/>
  </xdr:twoCellAnchor>
  <xdr:twoCellAnchor>
    <xdr:from>
      <xdr:col>70</xdr:col>
      <xdr:colOff>63384</xdr:colOff>
      <xdr:row>8</xdr:row>
      <xdr:rowOff>70657</xdr:rowOff>
    </xdr:from>
    <xdr:to>
      <xdr:col>84</xdr:col>
      <xdr:colOff>66432</xdr:colOff>
      <xdr:row>15</xdr:row>
      <xdr:rowOff>63037</xdr:rowOff>
    </xdr:to>
    <xdr:sp macro="" textlink="Pivot_Data!B5">
      <xdr:nvSpPr>
        <xdr:cNvPr id="24" name="Rectangle: Rounded Corners 23">
          <a:extLst>
            <a:ext uri="{FF2B5EF4-FFF2-40B4-BE49-F238E27FC236}">
              <a16:creationId xmlns:a16="http://schemas.microsoft.com/office/drawing/2014/main" id="{E8C815C4-55DD-412F-A376-D8E662E37EAF}"/>
            </a:ext>
          </a:extLst>
        </xdr:cNvPr>
        <xdr:cNvSpPr/>
      </xdr:nvSpPr>
      <xdr:spPr>
        <a:xfrm>
          <a:off x="13398384" y="1594657"/>
          <a:ext cx="2670048" cy="132588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6">
                  <a:lumMod val="50000"/>
                </a:schemeClr>
              </a:solidFill>
              <a:latin typeface="Calibri"/>
              <a:ea typeface="Calibri"/>
              <a:cs typeface="Calibri"/>
            </a:rPr>
            <a:t>Highest Rated(4+)</a:t>
          </a:r>
        </a:p>
        <a:p>
          <a:pPr algn="ctr"/>
          <a:endParaRPr lang="en-US" sz="1600" b="1" i="0" u="none" strike="noStrike">
            <a:solidFill>
              <a:schemeClr val="accent6">
                <a:lumMod val="50000"/>
              </a:schemeClr>
            </a:solidFill>
            <a:latin typeface="Calibri"/>
            <a:ea typeface="Calibri"/>
            <a:cs typeface="Calibri"/>
          </a:endParaRPr>
        </a:p>
        <a:p>
          <a:pPr algn="ctr"/>
          <a:r>
            <a:rPr lang="en-US" sz="1600" b="1" i="0" u="none" strike="noStrike">
              <a:solidFill>
                <a:schemeClr val="accent6">
                  <a:lumMod val="50000"/>
                </a:schemeClr>
              </a:solidFill>
              <a:latin typeface="Calibri"/>
              <a:ea typeface="Calibri"/>
              <a:cs typeface="Calibri"/>
            </a:rPr>
            <a:t>             34</a:t>
          </a:r>
        </a:p>
        <a:p>
          <a:pPr algn="ctr"/>
          <a:endParaRPr lang="en-US" sz="1600" b="1" i="0" u="none" strike="noStrike">
            <a:solidFill>
              <a:schemeClr val="accent6">
                <a:lumMod val="50000"/>
              </a:schemeClr>
            </a:solidFill>
            <a:latin typeface="Calibri"/>
            <a:ea typeface="Calibri"/>
            <a:cs typeface="Calibri"/>
          </a:endParaRPr>
        </a:p>
        <a:p>
          <a:pPr algn="ctr"/>
          <a:endParaRPr lang="en-US" sz="1600" b="1">
            <a:solidFill>
              <a:schemeClr val="accent6">
                <a:lumMod val="50000"/>
              </a:schemeClr>
            </a:solidFill>
          </a:endParaRPr>
        </a:p>
      </xdr:txBody>
    </xdr:sp>
    <xdr:clientData/>
  </xdr:twoCellAnchor>
  <xdr:twoCellAnchor>
    <xdr:from>
      <xdr:col>0</xdr:col>
      <xdr:colOff>77932</xdr:colOff>
      <xdr:row>16</xdr:row>
      <xdr:rowOff>129888</xdr:rowOff>
    </xdr:from>
    <xdr:to>
      <xdr:col>24</xdr:col>
      <xdr:colOff>77932</xdr:colOff>
      <xdr:row>31</xdr:row>
      <xdr:rowOff>15588</xdr:rowOff>
    </xdr:to>
    <xdr:graphicFrame macro="">
      <xdr:nvGraphicFramePr>
        <xdr:cNvPr id="25" name="Chart 24">
          <a:extLst>
            <a:ext uri="{FF2B5EF4-FFF2-40B4-BE49-F238E27FC236}">
              <a16:creationId xmlns:a16="http://schemas.microsoft.com/office/drawing/2014/main" id="{984D9D96-216C-4092-8680-D02A13396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121226</xdr:colOff>
      <xdr:row>16</xdr:row>
      <xdr:rowOff>121227</xdr:rowOff>
    </xdr:from>
    <xdr:to>
      <xdr:col>54</xdr:col>
      <xdr:colOff>112568</xdr:colOff>
      <xdr:row>31</xdr:row>
      <xdr:rowOff>6927</xdr:rowOff>
    </xdr:to>
    <xdr:graphicFrame macro="">
      <xdr:nvGraphicFramePr>
        <xdr:cNvPr id="27" name="Chart 26">
          <a:extLst>
            <a:ext uri="{FF2B5EF4-FFF2-40B4-BE49-F238E27FC236}">
              <a16:creationId xmlns:a16="http://schemas.microsoft.com/office/drawing/2014/main" id="{CE0ABB59-2BA9-4002-AB52-B7961BE47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129887</xdr:colOff>
      <xdr:row>16</xdr:row>
      <xdr:rowOff>103910</xdr:rowOff>
    </xdr:from>
    <xdr:to>
      <xdr:col>83</xdr:col>
      <xdr:colOff>129887</xdr:colOff>
      <xdr:row>30</xdr:row>
      <xdr:rowOff>180110</xdr:rowOff>
    </xdr:to>
    <xdr:graphicFrame macro="">
      <xdr:nvGraphicFramePr>
        <xdr:cNvPr id="28" name="Chart 27">
          <a:extLst>
            <a:ext uri="{FF2B5EF4-FFF2-40B4-BE49-F238E27FC236}">
              <a16:creationId xmlns:a16="http://schemas.microsoft.com/office/drawing/2014/main" id="{E231D239-0DC6-48C5-A098-25CFF60A8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69270</xdr:colOff>
      <xdr:row>10</xdr:row>
      <xdr:rowOff>181840</xdr:rowOff>
    </xdr:from>
    <xdr:to>
      <xdr:col>7</xdr:col>
      <xdr:colOff>95695</xdr:colOff>
      <xdr:row>14</xdr:row>
      <xdr:rowOff>17765</xdr:rowOff>
    </xdr:to>
    <xdr:pic>
      <xdr:nvPicPr>
        <xdr:cNvPr id="30" name="Picture 29">
          <a:extLst>
            <a:ext uri="{FF2B5EF4-FFF2-40B4-BE49-F238E27FC236}">
              <a16:creationId xmlns:a16="http://schemas.microsoft.com/office/drawing/2014/main" id="{33C4D8FA-04BA-FBE8-ADBE-2153EF2DE32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1270" y="2086840"/>
          <a:ext cx="597925" cy="597925"/>
        </a:xfrm>
        <a:prstGeom prst="rect">
          <a:avLst/>
        </a:prstGeom>
      </xdr:spPr>
    </xdr:pic>
    <xdr:clientData/>
  </xdr:twoCellAnchor>
  <xdr:twoCellAnchor editAs="oneCell">
    <xdr:from>
      <xdr:col>20</xdr:col>
      <xdr:colOff>181840</xdr:colOff>
      <xdr:row>11</xdr:row>
      <xdr:rowOff>51954</xdr:rowOff>
    </xdr:from>
    <xdr:to>
      <xdr:col>24</xdr:col>
      <xdr:colOff>2412</xdr:colOff>
      <xdr:row>14</xdr:row>
      <xdr:rowOff>63026</xdr:rowOff>
    </xdr:to>
    <xdr:pic>
      <xdr:nvPicPr>
        <xdr:cNvPr id="32" name="Picture 31">
          <a:extLst>
            <a:ext uri="{FF2B5EF4-FFF2-40B4-BE49-F238E27FC236}">
              <a16:creationId xmlns:a16="http://schemas.microsoft.com/office/drawing/2014/main" id="{43539EE1-E076-5DE3-AC40-699DB168F8F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991840" y="2147454"/>
          <a:ext cx="582572" cy="582572"/>
        </a:xfrm>
        <a:prstGeom prst="rect">
          <a:avLst/>
        </a:prstGeom>
      </xdr:spPr>
    </xdr:pic>
    <xdr:clientData/>
  </xdr:twoCellAnchor>
  <xdr:twoCellAnchor editAs="oneCell">
    <xdr:from>
      <xdr:col>37</xdr:col>
      <xdr:colOff>129887</xdr:colOff>
      <xdr:row>10</xdr:row>
      <xdr:rowOff>155864</xdr:rowOff>
    </xdr:from>
    <xdr:to>
      <xdr:col>40</xdr:col>
      <xdr:colOff>123641</xdr:colOff>
      <xdr:row>13</xdr:row>
      <xdr:rowOff>149618</xdr:rowOff>
    </xdr:to>
    <xdr:pic>
      <xdr:nvPicPr>
        <xdr:cNvPr id="34" name="Picture 33">
          <a:extLst>
            <a:ext uri="{FF2B5EF4-FFF2-40B4-BE49-F238E27FC236}">
              <a16:creationId xmlns:a16="http://schemas.microsoft.com/office/drawing/2014/main" id="{6C2D98D1-CB52-4684-1B1B-9D2E1C0EE30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78387" y="2060864"/>
          <a:ext cx="565254" cy="565254"/>
        </a:xfrm>
        <a:prstGeom prst="rect">
          <a:avLst/>
        </a:prstGeom>
      </xdr:spPr>
    </xdr:pic>
    <xdr:clientData/>
  </xdr:twoCellAnchor>
  <xdr:twoCellAnchor editAs="oneCell">
    <xdr:from>
      <xdr:col>55</xdr:col>
      <xdr:colOff>51954</xdr:colOff>
      <xdr:row>10</xdr:row>
      <xdr:rowOff>112569</xdr:rowOff>
    </xdr:from>
    <xdr:to>
      <xdr:col>59</xdr:col>
      <xdr:colOff>9105</xdr:colOff>
      <xdr:row>14</xdr:row>
      <xdr:rowOff>69720</xdr:rowOff>
    </xdr:to>
    <xdr:pic>
      <xdr:nvPicPr>
        <xdr:cNvPr id="36" name="Picture 35">
          <a:extLst>
            <a:ext uri="{FF2B5EF4-FFF2-40B4-BE49-F238E27FC236}">
              <a16:creationId xmlns:a16="http://schemas.microsoft.com/office/drawing/2014/main" id="{EEFF9E6A-6C7A-C53F-A590-26AA1CA1141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529454" y="2017569"/>
          <a:ext cx="719151" cy="719151"/>
        </a:xfrm>
        <a:prstGeom prst="rect">
          <a:avLst/>
        </a:prstGeom>
      </xdr:spPr>
    </xdr:pic>
    <xdr:clientData/>
  </xdr:twoCellAnchor>
  <xdr:twoCellAnchor editAs="oneCell">
    <xdr:from>
      <xdr:col>73</xdr:col>
      <xdr:colOff>112568</xdr:colOff>
      <xdr:row>10</xdr:row>
      <xdr:rowOff>129885</xdr:rowOff>
    </xdr:from>
    <xdr:to>
      <xdr:col>76</xdr:col>
      <xdr:colOff>173629</xdr:colOff>
      <xdr:row>13</xdr:row>
      <xdr:rowOff>155865</xdr:rowOff>
    </xdr:to>
    <xdr:pic>
      <xdr:nvPicPr>
        <xdr:cNvPr id="38" name="Picture 37">
          <a:extLst>
            <a:ext uri="{FF2B5EF4-FFF2-40B4-BE49-F238E27FC236}">
              <a16:creationId xmlns:a16="http://schemas.microsoft.com/office/drawing/2014/main" id="{329B4071-BFC0-B2D4-B4FA-2341C7FFD86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019068" y="2034885"/>
          <a:ext cx="632561" cy="597480"/>
        </a:xfrm>
        <a:prstGeom prst="rect">
          <a:avLst/>
        </a:prstGeom>
      </xdr:spPr>
    </xdr:pic>
    <xdr:clientData/>
  </xdr:twoCellAnchor>
  <xdr:twoCellAnchor>
    <xdr:from>
      <xdr:col>0</xdr:col>
      <xdr:colOff>129885</xdr:colOff>
      <xdr:row>34</xdr:row>
      <xdr:rowOff>8659</xdr:rowOff>
    </xdr:from>
    <xdr:to>
      <xdr:col>38</xdr:col>
      <xdr:colOff>69273</xdr:colOff>
      <xdr:row>53</xdr:row>
      <xdr:rowOff>181841</xdr:rowOff>
    </xdr:to>
    <xdr:graphicFrame macro="">
      <xdr:nvGraphicFramePr>
        <xdr:cNvPr id="39" name="Chart 38">
          <a:extLst>
            <a:ext uri="{FF2B5EF4-FFF2-40B4-BE49-F238E27FC236}">
              <a16:creationId xmlns:a16="http://schemas.microsoft.com/office/drawing/2014/main" id="{ED57B856-55CC-46F7-89F4-546AD4D04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190499</xdr:colOff>
      <xdr:row>33</xdr:row>
      <xdr:rowOff>164522</xdr:rowOff>
    </xdr:from>
    <xdr:to>
      <xdr:col>83</xdr:col>
      <xdr:colOff>138544</xdr:colOff>
      <xdr:row>53</xdr:row>
      <xdr:rowOff>129885</xdr:rowOff>
    </xdr:to>
    <xdr:graphicFrame macro="">
      <xdr:nvGraphicFramePr>
        <xdr:cNvPr id="40" name="Chart 39">
          <a:extLst>
            <a:ext uri="{FF2B5EF4-FFF2-40B4-BE49-F238E27FC236}">
              <a16:creationId xmlns:a16="http://schemas.microsoft.com/office/drawing/2014/main" id="{3F24E8D2-6251-470A-8C9F-BCAF567B7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55.860528124998" createdVersion="8" refreshedVersion="8" minRefreshableVersion="3" recordCount="148" xr:uid="{5DE840D4-C3E0-4421-BDA9-648185ADC760}">
  <cacheSource type="worksheet">
    <worksheetSource name="Table1"/>
  </cacheSource>
  <cacheFields count="8">
    <cacheField name="name" numFmtId="0">
      <sharedItems count="145">
        <s v="Jalsa"/>
        <s v="Spice Elephant"/>
        <s v="San Churro Cafe"/>
        <s v="Addhuri Udupi Bhojana"/>
        <s v="Grand Village"/>
        <s v="Timepass Dinner"/>
        <s v="Rosewood International Hotel - Bar &amp; Restaurant"/>
        <s v="Onesta"/>
        <s v="Penthouse Cafe"/>
        <s v="Smacznego"/>
        <s v="Village CafÃ©"/>
        <s v="Cafe Shuffle"/>
        <s v="The Coffee Shack"/>
        <s v="Caf-Eleven"/>
        <s v="Cafe Vivacity"/>
        <s v="Catch-up-ino"/>
        <s v="Kirthi's Biryani"/>
        <s v="T3H Cafe"/>
        <s v="360 Atoms Restaurant And Cafe"/>
        <s v="The Vintage Cafe"/>
        <s v="Woodee Pizza"/>
        <s v="Cafe Coffee Day"/>
        <s v="My Tea House"/>
        <s v="Hide Out Cafe"/>
        <s v="CAFE NOVA"/>
        <s v="Coffee Tindi"/>
        <s v="Sea Green Cafe"/>
        <s v="Cuppa"/>
        <s v="Srinathji's Cafe"/>
        <s v="Redberrys"/>
        <s v="Foodiction"/>
        <s v="Sweet Truth"/>
        <s v="Ovenstory Pizza"/>
        <s v="Faasos"/>
        <s v="Behrouz Biryani"/>
        <s v="Fast And Fresh"/>
        <s v="Szechuan Dragon"/>
        <s v="Empire Restaurant"/>
        <s v="Maruthi Davangere Benne Dosa"/>
        <s v="Chaatimes"/>
        <s v="Havyaka Mess"/>
        <s v="McDonald's"/>
        <s v="Domino's Pizza"/>
        <s v="Hotboxit"/>
        <s v="Kitchen Garden"/>
        <s v="Recipe"/>
        <s v="Beijing Bites"/>
        <s v="Tasty Bytes"/>
        <s v="Petoo"/>
        <s v="Shree Cool Point"/>
        <s v="Corner House Ice Cream"/>
        <s v="Biryanis And More"/>
        <s v="Roving Feast"/>
        <s v="FreshMenu"/>
        <s v="Banashankari Donne Biriyani"/>
        <s v="Wamama"/>
        <s v="Five Star Chicken"/>
        <s v="XO Belgian Waffle"/>
        <s v="Peppy Peppers"/>
        <s v="Goa 0 Km"/>
        <s v="Chinese Kitchen"/>
        <s v="Jeet Restaurant"/>
        <s v="Cake of the Day"/>
        <s v="Kabab Magic"/>
        <s v="Namma Brahmin's Idli"/>
        <s v="Gustoes Beer House"/>
        <s v="Sugar Rush"/>
        <s v="Burger King"/>
        <s v="The Good Bowl"/>
        <s v="The Biryani Cafe"/>
        <s v="Spicy Tandoor"/>
        <s v="LSD Cafe"/>
        <s v="Rolls On Wheels"/>
        <s v="Om Sri Vinayaka Chats"/>
        <s v="Sri Guru Kottureshwara Davangere Benne Dosa"/>
        <s v="Devanna Dum Biriyani Centre"/>
        <s v="Kolbeh"/>
        <s v="Upahar Sagar"/>
        <s v="Kadalu Sea Food Restaurant"/>
        <s v="Frozen Bottle"/>
        <s v="Parimala Sweets"/>
        <s v="Vaishali Deluxe"/>
        <s v="Chill Out"/>
        <s v="The Big O Bakes"/>
        <s v="Meghana Foods"/>
        <s v="Krishna Sagar"/>
        <s v="Dessert Rose"/>
        <s v="Chickpet Donne Biryani House"/>
        <s v="Me And My Cake"/>
        <s v="Sunsadm"/>
        <s v="Annapooraneshwari Mess"/>
        <s v="Thanco's Natural Ice Creams"/>
        <s v="Nandhini Deluxe"/>
        <s v="Vi Ra's Bar and Restaurant"/>
        <s v="Kaggis"/>
        <s v="Ayda Persian Kitchen"/>
        <s v="Chatar Patar"/>
        <s v="Polar Bear"/>
        <s v="Kidambi's Kitchen"/>
        <s v="Mane Thindi"/>
        <s v="Kotian Karavali Restaurant"/>
        <s v="Floured-Baked With Love"/>
        <s v="Cakes &amp; Slices"/>
        <s v="Spice 9"/>
        <s v="Coffee Shopee"/>
        <s v="Naveen Kabab &amp; Biriyani Mane"/>
        <s v="Katriguppe Donne Biryani"/>
        <s v="Hari Super Sandwich"/>
        <s v="Atithi Point Ande Ka Funda"/>
        <s v="Just Bake"/>
        <s v="Dharwad Line Bazaar Mishra Pedha"/>
        <s v="Cake Bite"/>
        <s v="Aarush's Food Plaza"/>
        <s v="Wood Stove"/>
        <s v="Kulfi &amp; More"/>
        <s v="Kannadigas Karavali"/>
        <s v="K27 - The Pub"/>
        <s v="Bengaluru Coffee House"/>
        <s v="New Mangalore Lunch Home"/>
        <s v="Coffee Bytes"/>
        <s v="Parjanya Chat Zone"/>
        <s v="Kwality Wall's Swirl's Happiness Station"/>
        <s v="Soms Kitchen &amp; Bakes"/>
        <s v="Banashankari Nati Style"/>
        <s v="Ruchi Maayaka"/>
        <s v="Mohitesh Hut Roll"/>
        <s v="Sri Basaveshwar Jolada Rotti Oota"/>
        <s v="Roll Magic Fast Food"/>
        <s v="Foodlieious Multi Cuisine"/>
        <s v="Thanishka Nati And Karavali Style"/>
        <s v="Swathi Cool Point"/>
        <s v="Kaumudis Juoice"/>
        <s v="Amma - Manae"/>
        <s v="Sri Sai Tiffannies"/>
        <s v="Hotel Andhra Speices"/>
        <s v="Sri Murari Family Restaurant"/>
        <s v="Aramane Donne Biriyani"/>
        <s v="Darkolates"/>
        <s v="Swaada Healthy Kitchen"/>
        <s v="Gawdaru Mane Beriyani"/>
        <s v="Melting Melodies"/>
        <s v="New Indraprasta"/>
        <s v="Anna Kuteera"/>
        <s v="Darbar"/>
        <s v="Vijayalakshmi"/>
      </sharedItems>
    </cacheField>
    <cacheField name="online_order" numFmtId="0">
      <sharedItems/>
    </cacheField>
    <cacheField name="book_table" numFmtId="0">
      <sharedItems/>
    </cacheField>
    <cacheField name="rate" numFmtId="0">
      <sharedItems containsSemiMixedTypes="0" containsString="0" containsNumber="1" minValue="2.6" maxValue="4.5999999999999996"/>
    </cacheField>
    <cacheField name="votes" numFmtId="0">
      <sharedItems containsSemiMixedTypes="0" containsString="0" containsNumber="1" containsInteger="1" minValue="0" maxValue="4884"/>
    </cacheField>
    <cacheField name="approx_cost(for two people)" numFmtId="0">
      <sharedItems containsSemiMixedTypes="0" containsString="0" containsNumber="1" containsInteger="1" minValue="100" maxValue="950"/>
    </cacheField>
    <cacheField name="listed_in(type)" numFmtId="0">
      <sharedItems count="4">
        <s v="Buffet"/>
        <s v="Cafes"/>
        <s v="other"/>
        <s v="Dining"/>
      </sharedItems>
    </cacheField>
    <cacheField name="cost_category" numFmtId="0">
      <sharedItems count="3">
        <s v="High"/>
        <s v="Medium"/>
        <s v="Low"/>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x v="0"/>
    <s v="Yes"/>
    <s v="Yes"/>
    <n v="4.0999999999999996"/>
    <n v="775"/>
    <n v="800"/>
    <x v="0"/>
    <x v="0"/>
  </r>
  <r>
    <x v="1"/>
    <s v="Yes"/>
    <s v="No"/>
    <n v="4.0999999999999996"/>
    <n v="787"/>
    <n v="800"/>
    <x v="0"/>
    <x v="0"/>
  </r>
  <r>
    <x v="2"/>
    <s v="Yes"/>
    <s v="No"/>
    <n v="3.8"/>
    <n v="918"/>
    <n v="800"/>
    <x v="0"/>
    <x v="0"/>
  </r>
  <r>
    <x v="3"/>
    <s v="No"/>
    <s v="No"/>
    <n v="3.7"/>
    <n v="88"/>
    <n v="300"/>
    <x v="0"/>
    <x v="1"/>
  </r>
  <r>
    <x v="4"/>
    <s v="No"/>
    <s v="No"/>
    <n v="3.8"/>
    <n v="166"/>
    <n v="600"/>
    <x v="0"/>
    <x v="1"/>
  </r>
  <r>
    <x v="5"/>
    <s v="Yes"/>
    <s v="No"/>
    <n v="3.8"/>
    <n v="286"/>
    <n v="600"/>
    <x v="0"/>
    <x v="1"/>
  </r>
  <r>
    <x v="6"/>
    <s v="No"/>
    <s v="No"/>
    <n v="3.6"/>
    <n v="8"/>
    <n v="800"/>
    <x v="0"/>
    <x v="0"/>
  </r>
  <r>
    <x v="7"/>
    <s v="Yes"/>
    <s v="Yes"/>
    <n v="4.5999999999999996"/>
    <n v="2556"/>
    <n v="600"/>
    <x v="1"/>
    <x v="1"/>
  </r>
  <r>
    <x v="8"/>
    <s v="Yes"/>
    <s v="No"/>
    <n v="4"/>
    <n v="324"/>
    <n v="700"/>
    <x v="2"/>
    <x v="0"/>
  </r>
  <r>
    <x v="9"/>
    <s v="Yes"/>
    <s v="No"/>
    <n v="4.2"/>
    <n v="504"/>
    <n v="550"/>
    <x v="1"/>
    <x v="1"/>
  </r>
  <r>
    <x v="10"/>
    <s v="Yes"/>
    <s v="No"/>
    <n v="4.0999999999999996"/>
    <n v="402"/>
    <n v="500"/>
    <x v="1"/>
    <x v="1"/>
  </r>
  <r>
    <x v="11"/>
    <s v="Yes"/>
    <s v="Yes"/>
    <n v="4.2"/>
    <n v="150"/>
    <n v="600"/>
    <x v="1"/>
    <x v="1"/>
  </r>
  <r>
    <x v="12"/>
    <s v="Yes"/>
    <s v="Yes"/>
    <n v="4.2"/>
    <n v="164"/>
    <n v="500"/>
    <x v="1"/>
    <x v="1"/>
  </r>
  <r>
    <x v="13"/>
    <s v="No"/>
    <s v="No"/>
    <n v="4"/>
    <n v="424"/>
    <n v="450"/>
    <x v="1"/>
    <x v="1"/>
  </r>
  <r>
    <x v="2"/>
    <s v="Yes"/>
    <s v="No"/>
    <n v="3.8"/>
    <n v="918"/>
    <n v="800"/>
    <x v="1"/>
    <x v="0"/>
  </r>
  <r>
    <x v="14"/>
    <s v="Yes"/>
    <s v="No"/>
    <n v="3.8"/>
    <n v="90"/>
    <n v="650"/>
    <x v="1"/>
    <x v="1"/>
  </r>
  <r>
    <x v="15"/>
    <s v="Yes"/>
    <s v="No"/>
    <n v="3.9"/>
    <n v="133"/>
    <n v="800"/>
    <x v="1"/>
    <x v="0"/>
  </r>
  <r>
    <x v="16"/>
    <s v="Yes"/>
    <s v="No"/>
    <n v="3.8"/>
    <n v="144"/>
    <n v="700"/>
    <x v="1"/>
    <x v="0"/>
  </r>
  <r>
    <x v="17"/>
    <s v="No"/>
    <s v="No"/>
    <n v="3.9"/>
    <n v="93"/>
    <n v="300"/>
    <x v="1"/>
    <x v="1"/>
  </r>
  <r>
    <x v="18"/>
    <s v="Yes"/>
    <s v="No"/>
    <n v="3.1"/>
    <n v="13"/>
    <n v="400"/>
    <x v="1"/>
    <x v="1"/>
  </r>
  <r>
    <x v="19"/>
    <s v="Yes"/>
    <s v="No"/>
    <n v="3"/>
    <n v="62"/>
    <n v="400"/>
    <x v="1"/>
    <x v="1"/>
  </r>
  <r>
    <x v="20"/>
    <s v="Yes"/>
    <s v="No"/>
    <n v="3.7"/>
    <n v="180"/>
    <n v="500"/>
    <x v="1"/>
    <x v="1"/>
  </r>
  <r>
    <x v="21"/>
    <s v="No"/>
    <s v="No"/>
    <n v="3.6"/>
    <n v="28"/>
    <n v="900"/>
    <x v="1"/>
    <x v="0"/>
  </r>
  <r>
    <x v="22"/>
    <s v="Yes"/>
    <s v="No"/>
    <n v="3.6"/>
    <n v="62"/>
    <n v="600"/>
    <x v="1"/>
    <x v="1"/>
  </r>
  <r>
    <x v="23"/>
    <s v="No"/>
    <s v="No"/>
    <n v="3.7"/>
    <n v="31"/>
    <n v="300"/>
    <x v="1"/>
    <x v="1"/>
  </r>
  <r>
    <x v="24"/>
    <s v="No"/>
    <s v="No"/>
    <n v="3.2"/>
    <n v="11"/>
    <n v="600"/>
    <x v="1"/>
    <x v="1"/>
  </r>
  <r>
    <x v="25"/>
    <s v="Yes"/>
    <s v="No"/>
    <n v="3.8"/>
    <n v="75"/>
    <n v="200"/>
    <x v="1"/>
    <x v="2"/>
  </r>
  <r>
    <x v="26"/>
    <s v="No"/>
    <s v="No"/>
    <n v="3.3"/>
    <n v="4"/>
    <n v="500"/>
    <x v="1"/>
    <x v="1"/>
  </r>
  <r>
    <x v="27"/>
    <s v="No"/>
    <s v="No"/>
    <n v="3.3"/>
    <n v="23"/>
    <n v="550"/>
    <x v="1"/>
    <x v="1"/>
  </r>
  <r>
    <x v="28"/>
    <s v="No"/>
    <s v="No"/>
    <n v="3.8"/>
    <n v="148"/>
    <n v="550"/>
    <x v="1"/>
    <x v="1"/>
  </r>
  <r>
    <x v="29"/>
    <s v="Yes"/>
    <s v="No"/>
    <n v="4"/>
    <n v="219"/>
    <n v="600"/>
    <x v="1"/>
    <x v="1"/>
  </r>
  <r>
    <x v="30"/>
    <s v="Yes"/>
    <s v="No"/>
    <n v="2.8"/>
    <n v="506"/>
    <n v="500"/>
    <x v="2"/>
    <x v="1"/>
  </r>
  <r>
    <x v="31"/>
    <s v="Yes"/>
    <s v="No"/>
    <n v="3.9"/>
    <n v="35"/>
    <n v="500"/>
    <x v="3"/>
    <x v="1"/>
  </r>
  <r>
    <x v="32"/>
    <s v="Yes"/>
    <s v="No"/>
    <n v="3.9"/>
    <n v="172"/>
    <n v="750"/>
    <x v="3"/>
    <x v="0"/>
  </r>
  <r>
    <x v="33"/>
    <s v="Yes"/>
    <s v="No"/>
    <n v="4.2"/>
    <n v="415"/>
    <n v="500"/>
    <x v="2"/>
    <x v="1"/>
  </r>
  <r>
    <x v="34"/>
    <s v="Yes"/>
    <s v="No"/>
    <n v="3.9"/>
    <n v="230"/>
    <n v="650"/>
    <x v="3"/>
    <x v="1"/>
  </r>
  <r>
    <x v="35"/>
    <s v="Yes"/>
    <s v="No"/>
    <n v="2.8"/>
    <n v="91"/>
    <n v="400"/>
    <x v="3"/>
    <x v="1"/>
  </r>
  <r>
    <x v="36"/>
    <s v="Yes"/>
    <s v="No"/>
    <n v="4.2"/>
    <n v="1647"/>
    <n v="600"/>
    <x v="3"/>
    <x v="1"/>
  </r>
  <r>
    <x v="37"/>
    <s v="Yes"/>
    <s v="No"/>
    <n v="4.4000000000000004"/>
    <n v="4884"/>
    <n v="750"/>
    <x v="2"/>
    <x v="0"/>
  </r>
  <r>
    <x v="38"/>
    <s v="Yes"/>
    <s v="No"/>
    <n v="4"/>
    <n v="17"/>
    <n v="150"/>
    <x v="3"/>
    <x v="2"/>
  </r>
  <r>
    <x v="39"/>
    <s v="Yes"/>
    <s v="No"/>
    <n v="3.8"/>
    <n v="133"/>
    <n v="200"/>
    <x v="3"/>
    <x v="2"/>
  </r>
  <r>
    <x v="40"/>
    <s v="No"/>
    <s v="No"/>
    <n v="3.9"/>
    <n v="28"/>
    <n v="300"/>
    <x v="3"/>
    <x v="1"/>
  </r>
  <r>
    <x v="41"/>
    <s v="Yes"/>
    <s v="No"/>
    <n v="3.9"/>
    <n v="286"/>
    <n v="500"/>
    <x v="3"/>
    <x v="1"/>
  </r>
  <r>
    <x v="42"/>
    <s v="Yes"/>
    <s v="No"/>
    <n v="3.9"/>
    <n v="540"/>
    <n v="800"/>
    <x v="3"/>
    <x v="0"/>
  </r>
  <r>
    <x v="7"/>
    <s v="Yes"/>
    <s v="Yes"/>
    <n v="4.5999999999999996"/>
    <n v="2556"/>
    <n v="600"/>
    <x v="2"/>
    <x v="1"/>
  </r>
  <r>
    <x v="43"/>
    <s v="No"/>
    <s v="No"/>
    <n v="3.8"/>
    <n v="36"/>
    <n v="400"/>
    <x v="3"/>
    <x v="1"/>
  </r>
  <r>
    <x v="44"/>
    <s v="Yes"/>
    <s v="No"/>
    <n v="3.6"/>
    <n v="244"/>
    <n v="300"/>
    <x v="3"/>
    <x v="1"/>
  </r>
  <r>
    <x v="45"/>
    <s v="Yes"/>
    <s v="No"/>
    <n v="4"/>
    <n v="804"/>
    <n v="450"/>
    <x v="3"/>
    <x v="1"/>
  </r>
  <r>
    <x v="46"/>
    <s v="Yes"/>
    <s v="No"/>
    <n v="3.7"/>
    <n v="679"/>
    <n v="850"/>
    <x v="3"/>
    <x v="0"/>
  </r>
  <r>
    <x v="47"/>
    <s v="Yes"/>
    <s v="No"/>
    <n v="3.1"/>
    <n v="245"/>
    <n v="300"/>
    <x v="3"/>
    <x v="1"/>
  </r>
  <r>
    <x v="48"/>
    <s v="No"/>
    <s v="No"/>
    <n v="3.7"/>
    <n v="21"/>
    <n v="450"/>
    <x v="3"/>
    <x v="1"/>
  </r>
  <r>
    <x v="49"/>
    <s v="Yes"/>
    <s v="No"/>
    <n v="4.0999999999999996"/>
    <n v="28"/>
    <n v="150"/>
    <x v="3"/>
    <x v="2"/>
  </r>
  <r>
    <x v="50"/>
    <s v="No"/>
    <s v="No"/>
    <n v="4.3"/>
    <n v="345"/>
    <n v="400"/>
    <x v="3"/>
    <x v="1"/>
  </r>
  <r>
    <x v="51"/>
    <s v="Yes"/>
    <s v="No"/>
    <n v="4"/>
    <n v="618"/>
    <n v="750"/>
    <x v="3"/>
    <x v="0"/>
  </r>
  <r>
    <x v="52"/>
    <s v="No"/>
    <s v="No"/>
    <n v="4"/>
    <n v="1047"/>
    <n v="450"/>
    <x v="3"/>
    <x v="1"/>
  </r>
  <r>
    <x v="53"/>
    <s v="Yes"/>
    <s v="No"/>
    <n v="3.9"/>
    <n v="627"/>
    <n v="450"/>
    <x v="3"/>
    <x v="1"/>
  </r>
  <r>
    <x v="54"/>
    <s v="Yes"/>
    <s v="No"/>
    <n v="3.8"/>
    <n v="104"/>
    <n v="300"/>
    <x v="3"/>
    <x v="1"/>
  </r>
  <r>
    <x v="55"/>
    <s v="Yes"/>
    <s v="Yes"/>
    <n v="4.2"/>
    <n v="354"/>
    <n v="800"/>
    <x v="2"/>
    <x v="0"/>
  </r>
  <r>
    <x v="56"/>
    <s v="No"/>
    <s v="No"/>
    <n v="3.6"/>
    <n v="55"/>
    <n v="200"/>
    <x v="3"/>
    <x v="2"/>
  </r>
  <r>
    <x v="57"/>
    <s v="Yes"/>
    <s v="No"/>
    <n v="3.7"/>
    <n v="17"/>
    <n v="400"/>
    <x v="3"/>
    <x v="1"/>
  </r>
  <r>
    <x v="58"/>
    <s v="No"/>
    <s v="No"/>
    <n v="4.2"/>
    <n v="244"/>
    <n v="800"/>
    <x v="2"/>
    <x v="0"/>
  </r>
  <r>
    <x v="59"/>
    <s v="Yes"/>
    <s v="Yes"/>
    <n v="3.6"/>
    <n v="163"/>
    <n v="800"/>
    <x v="3"/>
    <x v="0"/>
  </r>
  <r>
    <x v="60"/>
    <s v="Yes"/>
    <s v="No"/>
    <n v="3.8"/>
    <n v="58"/>
    <n v="150"/>
    <x v="3"/>
    <x v="2"/>
  </r>
  <r>
    <x v="61"/>
    <s v="No"/>
    <s v="Yes"/>
    <n v="4"/>
    <n v="808"/>
    <n v="850"/>
    <x v="3"/>
    <x v="0"/>
  </r>
  <r>
    <x v="62"/>
    <s v="No"/>
    <s v="No"/>
    <n v="3.7"/>
    <n v="78"/>
    <n v="150"/>
    <x v="3"/>
    <x v="2"/>
  </r>
  <r>
    <x v="63"/>
    <s v="Yes"/>
    <s v="No"/>
    <n v="4.0999999999999996"/>
    <n v="1720"/>
    <n v="400"/>
    <x v="3"/>
    <x v="1"/>
  </r>
  <r>
    <x v="64"/>
    <s v="Yes"/>
    <s v="No"/>
    <n v="3.6"/>
    <n v="34"/>
    <n v="100"/>
    <x v="3"/>
    <x v="2"/>
  </r>
  <r>
    <x v="65"/>
    <s v="No"/>
    <s v="No"/>
    <n v="4.0999999999999996"/>
    <n v="868"/>
    <n v="700"/>
    <x v="3"/>
    <x v="0"/>
  </r>
  <r>
    <x v="66"/>
    <s v="No"/>
    <s v="No"/>
    <n v="3.8"/>
    <n v="39"/>
    <n v="300"/>
    <x v="3"/>
    <x v="1"/>
  </r>
  <r>
    <x v="67"/>
    <s v="Yes"/>
    <s v="No"/>
    <n v="3.2"/>
    <n v="71"/>
    <n v="600"/>
    <x v="3"/>
    <x v="1"/>
  </r>
  <r>
    <x v="68"/>
    <s v="Yes"/>
    <s v="No"/>
    <n v="3.6"/>
    <n v="6"/>
    <n v="500"/>
    <x v="3"/>
    <x v="1"/>
  </r>
  <r>
    <x v="69"/>
    <s v="No"/>
    <s v="No"/>
    <n v="4.0999999999999996"/>
    <n v="520"/>
    <n v="300"/>
    <x v="3"/>
    <x v="1"/>
  </r>
  <r>
    <x v="70"/>
    <s v="No"/>
    <s v="No"/>
    <n v="4.0999999999999996"/>
    <n v="0"/>
    <n v="150"/>
    <x v="3"/>
    <x v="2"/>
  </r>
  <r>
    <x v="71"/>
    <s v="No"/>
    <s v="No"/>
    <n v="2.9"/>
    <n v="84"/>
    <n v="700"/>
    <x v="2"/>
    <x v="0"/>
  </r>
  <r>
    <x v="72"/>
    <s v="No"/>
    <s v="No"/>
    <n v="3.6"/>
    <n v="299"/>
    <n v="300"/>
    <x v="3"/>
    <x v="1"/>
  </r>
  <r>
    <x v="73"/>
    <s v="No"/>
    <s v="No"/>
    <n v="3.6"/>
    <n v="0"/>
    <n v="500"/>
    <x v="3"/>
    <x v="1"/>
  </r>
  <r>
    <x v="74"/>
    <s v="Yes"/>
    <s v="No"/>
    <n v="4.0999999999999996"/>
    <n v="558"/>
    <n v="150"/>
    <x v="3"/>
    <x v="2"/>
  </r>
  <r>
    <x v="75"/>
    <s v="Yes"/>
    <s v="No"/>
    <n v="3.6"/>
    <n v="28"/>
    <n v="300"/>
    <x v="3"/>
    <x v="1"/>
  </r>
  <r>
    <x v="76"/>
    <s v="No"/>
    <s v="No"/>
    <n v="3.7"/>
    <n v="22"/>
    <n v="500"/>
    <x v="3"/>
    <x v="1"/>
  </r>
  <r>
    <x v="77"/>
    <s v="No"/>
    <s v="No"/>
    <n v="3.8"/>
    <n v="39"/>
    <n v="350"/>
    <x v="3"/>
    <x v="1"/>
  </r>
  <r>
    <x v="78"/>
    <s v="Yes"/>
    <s v="No"/>
    <n v="3.8"/>
    <n v="153"/>
    <n v="500"/>
    <x v="3"/>
    <x v="1"/>
  </r>
  <r>
    <x v="79"/>
    <s v="Yes"/>
    <s v="No"/>
    <n v="4.2"/>
    <n v="146"/>
    <n v="400"/>
    <x v="3"/>
    <x v="1"/>
  </r>
  <r>
    <x v="80"/>
    <s v="No"/>
    <s v="No"/>
    <n v="3.5"/>
    <n v="14"/>
    <n v="200"/>
    <x v="3"/>
    <x v="2"/>
  </r>
  <r>
    <x v="81"/>
    <s v="No"/>
    <s v="No"/>
    <n v="3.8"/>
    <n v="42"/>
    <n v="700"/>
    <x v="3"/>
    <x v="0"/>
  </r>
  <r>
    <x v="82"/>
    <s v="No"/>
    <s v="No"/>
    <n v="3.8"/>
    <n v="0"/>
    <n v="100"/>
    <x v="3"/>
    <x v="2"/>
  </r>
  <r>
    <x v="83"/>
    <s v="No"/>
    <s v="No"/>
    <n v="4"/>
    <n v="66"/>
    <n v="300"/>
    <x v="3"/>
    <x v="1"/>
  </r>
  <r>
    <x v="84"/>
    <s v="Yes"/>
    <s v="No"/>
    <n v="4.4000000000000004"/>
    <n v="4401"/>
    <n v="600"/>
    <x v="3"/>
    <x v="1"/>
  </r>
  <r>
    <x v="85"/>
    <s v="No"/>
    <s v="No"/>
    <n v="3.5"/>
    <n v="31"/>
    <n v="200"/>
    <x v="3"/>
    <x v="2"/>
  </r>
  <r>
    <x v="86"/>
    <s v="No"/>
    <s v="No"/>
    <n v="3.5"/>
    <n v="7"/>
    <n v="500"/>
    <x v="3"/>
    <x v="1"/>
  </r>
  <r>
    <x v="87"/>
    <s v="No"/>
    <s v="No"/>
    <n v="3.7"/>
    <n v="21"/>
    <n v="250"/>
    <x v="3"/>
    <x v="2"/>
  </r>
  <r>
    <x v="88"/>
    <s v="No"/>
    <s v="No"/>
    <n v="3.7"/>
    <n v="0"/>
    <n v="500"/>
    <x v="3"/>
    <x v="1"/>
  </r>
  <r>
    <x v="89"/>
    <s v="No"/>
    <s v="No"/>
    <n v="3.7"/>
    <n v="0"/>
    <n v="400"/>
    <x v="3"/>
    <x v="1"/>
  </r>
  <r>
    <x v="90"/>
    <s v="No"/>
    <s v="No"/>
    <n v="3.7"/>
    <n v="0"/>
    <n v="200"/>
    <x v="3"/>
    <x v="2"/>
  </r>
  <r>
    <x v="91"/>
    <s v="No"/>
    <s v="No"/>
    <n v="3.2"/>
    <n v="9"/>
    <n v="300"/>
    <x v="3"/>
    <x v="1"/>
  </r>
  <r>
    <x v="92"/>
    <s v="No"/>
    <s v="No"/>
    <n v="2.6"/>
    <n v="283"/>
    <n v="600"/>
    <x v="3"/>
    <x v="1"/>
  </r>
  <r>
    <x v="93"/>
    <s v="No"/>
    <s v="No"/>
    <n v="3.3"/>
    <n v="62"/>
    <n v="800"/>
    <x v="3"/>
    <x v="0"/>
  </r>
  <r>
    <x v="94"/>
    <s v="No"/>
    <s v="No"/>
    <n v="3.8"/>
    <n v="64"/>
    <n v="250"/>
    <x v="3"/>
    <x v="2"/>
  </r>
  <r>
    <x v="95"/>
    <s v="No"/>
    <s v="No"/>
    <n v="3.7"/>
    <n v="39"/>
    <n v="950"/>
    <x v="3"/>
    <x v="0"/>
  </r>
  <r>
    <x v="96"/>
    <s v="No"/>
    <s v="No"/>
    <n v="3.7"/>
    <n v="65"/>
    <n v="300"/>
    <x v="3"/>
    <x v="1"/>
  </r>
  <r>
    <x v="97"/>
    <s v="Yes"/>
    <s v="No"/>
    <n v="3.8"/>
    <n v="71"/>
    <n v="400"/>
    <x v="3"/>
    <x v="1"/>
  </r>
  <r>
    <x v="98"/>
    <s v="No"/>
    <s v="No"/>
    <n v="3.5"/>
    <n v="52"/>
    <n v="300"/>
    <x v="3"/>
    <x v="1"/>
  </r>
  <r>
    <x v="99"/>
    <s v="No"/>
    <s v="No"/>
    <n v="3.7"/>
    <n v="130"/>
    <n v="200"/>
    <x v="3"/>
    <x v="2"/>
  </r>
  <r>
    <x v="100"/>
    <s v="No"/>
    <s v="No"/>
    <n v="3.5"/>
    <n v="10"/>
    <n v="300"/>
    <x v="3"/>
    <x v="1"/>
  </r>
  <r>
    <x v="101"/>
    <s v="No"/>
    <s v="No"/>
    <n v="3.8"/>
    <n v="45"/>
    <n v="400"/>
    <x v="3"/>
    <x v="1"/>
  </r>
  <r>
    <x v="24"/>
    <s v="No"/>
    <s v="No"/>
    <n v="3.2"/>
    <n v="11"/>
    <n v="600"/>
    <x v="3"/>
    <x v="1"/>
  </r>
  <r>
    <x v="102"/>
    <s v="No"/>
    <s v="No"/>
    <n v="3.5"/>
    <n v="13"/>
    <n v="300"/>
    <x v="3"/>
    <x v="1"/>
  </r>
  <r>
    <x v="103"/>
    <s v="No"/>
    <s v="No"/>
    <n v="3.4"/>
    <n v="8"/>
    <n v="300"/>
    <x v="3"/>
    <x v="1"/>
  </r>
  <r>
    <x v="104"/>
    <s v="No"/>
    <s v="No"/>
    <n v="3.4"/>
    <n v="0"/>
    <n v="250"/>
    <x v="3"/>
    <x v="2"/>
  </r>
  <r>
    <x v="105"/>
    <s v="No"/>
    <s v="No"/>
    <n v="3.2"/>
    <n v="9"/>
    <n v="300"/>
    <x v="3"/>
    <x v="1"/>
  </r>
  <r>
    <x v="106"/>
    <s v="No"/>
    <s v="No"/>
    <n v="3.2"/>
    <n v="4"/>
    <n v="300"/>
    <x v="3"/>
    <x v="1"/>
  </r>
  <r>
    <x v="107"/>
    <s v="No"/>
    <s v="No"/>
    <n v="3.2"/>
    <n v="0"/>
    <n v="200"/>
    <x v="3"/>
    <x v="2"/>
  </r>
  <r>
    <x v="108"/>
    <s v="No"/>
    <s v="No"/>
    <n v="3.1"/>
    <n v="29"/>
    <n v="150"/>
    <x v="3"/>
    <x v="2"/>
  </r>
  <r>
    <x v="109"/>
    <s v="No"/>
    <s v="No"/>
    <n v="3.4"/>
    <n v="8"/>
    <n v="400"/>
    <x v="3"/>
    <x v="1"/>
  </r>
  <r>
    <x v="110"/>
    <s v="No"/>
    <s v="No"/>
    <n v="3.4"/>
    <n v="0"/>
    <n v="150"/>
    <x v="3"/>
    <x v="2"/>
  </r>
  <r>
    <x v="111"/>
    <s v="No"/>
    <s v="No"/>
    <n v="3.4"/>
    <n v="0"/>
    <n v="300"/>
    <x v="3"/>
    <x v="1"/>
  </r>
  <r>
    <x v="112"/>
    <s v="No"/>
    <s v="No"/>
    <n v="3.4"/>
    <n v="0"/>
    <n v="200"/>
    <x v="3"/>
    <x v="2"/>
  </r>
  <r>
    <x v="113"/>
    <s v="No"/>
    <s v="No"/>
    <n v="3.4"/>
    <n v="0"/>
    <n v="150"/>
    <x v="3"/>
    <x v="2"/>
  </r>
  <r>
    <x v="114"/>
    <s v="No"/>
    <s v="No"/>
    <n v="3.4"/>
    <n v="0"/>
    <n v="150"/>
    <x v="3"/>
    <x v="2"/>
  </r>
  <r>
    <x v="115"/>
    <s v="No"/>
    <s v="No"/>
    <n v="3.4"/>
    <n v="0"/>
    <n v="250"/>
    <x v="3"/>
    <x v="2"/>
  </r>
  <r>
    <x v="116"/>
    <s v="No"/>
    <s v="No"/>
    <n v="3.1"/>
    <n v="30"/>
    <n v="900"/>
    <x v="3"/>
    <x v="0"/>
  </r>
  <r>
    <x v="117"/>
    <s v="Yes"/>
    <s v="No"/>
    <n v="4.0999999999999996"/>
    <n v="201"/>
    <n v="300"/>
    <x v="3"/>
    <x v="1"/>
  </r>
  <r>
    <x v="118"/>
    <s v="No"/>
    <s v="No"/>
    <n v="3.3"/>
    <n v="7"/>
    <n v="200"/>
    <x v="3"/>
    <x v="2"/>
  </r>
  <r>
    <x v="119"/>
    <s v="No"/>
    <s v="No"/>
    <n v="3.1"/>
    <n v="6"/>
    <n v="100"/>
    <x v="3"/>
    <x v="2"/>
  </r>
  <r>
    <x v="120"/>
    <s v="No"/>
    <s v="No"/>
    <n v="3.3"/>
    <n v="17"/>
    <n v="200"/>
    <x v="3"/>
    <x v="2"/>
  </r>
  <r>
    <x v="121"/>
    <s v="No"/>
    <s v="No"/>
    <n v="2.9"/>
    <n v="25"/>
    <n v="200"/>
    <x v="3"/>
    <x v="2"/>
  </r>
  <r>
    <x v="122"/>
    <s v="No"/>
    <s v="No"/>
    <n v="2.9"/>
    <n v="0"/>
    <n v="400"/>
    <x v="3"/>
    <x v="1"/>
  </r>
  <r>
    <x v="123"/>
    <s v="No"/>
    <s v="No"/>
    <n v="2.9"/>
    <n v="0"/>
    <n v="350"/>
    <x v="3"/>
    <x v="1"/>
  </r>
  <r>
    <x v="124"/>
    <s v="No"/>
    <s v="No"/>
    <n v="3.3"/>
    <n v="8"/>
    <n v="100"/>
    <x v="3"/>
    <x v="2"/>
  </r>
  <r>
    <x v="125"/>
    <s v="No"/>
    <s v="No"/>
    <n v="3.3"/>
    <n v="0"/>
    <n v="150"/>
    <x v="3"/>
    <x v="2"/>
  </r>
  <r>
    <x v="126"/>
    <s v="No"/>
    <s v="No"/>
    <n v="3.4"/>
    <n v="0"/>
    <n v="150"/>
    <x v="3"/>
    <x v="2"/>
  </r>
  <r>
    <x v="127"/>
    <s v="No"/>
    <s v="No"/>
    <n v="3.4"/>
    <n v="0"/>
    <n v="200"/>
    <x v="3"/>
    <x v="2"/>
  </r>
  <r>
    <x v="128"/>
    <s v="No"/>
    <s v="No"/>
    <n v="3.4"/>
    <n v="0"/>
    <n v="100"/>
    <x v="3"/>
    <x v="2"/>
  </r>
  <r>
    <x v="129"/>
    <s v="No"/>
    <s v="No"/>
    <n v="3.1"/>
    <n v="0"/>
    <n v="400"/>
    <x v="3"/>
    <x v="1"/>
  </r>
  <r>
    <x v="130"/>
    <s v="No"/>
    <s v="No"/>
    <n v="4.0999999999999996"/>
    <n v="0"/>
    <n v="200"/>
    <x v="3"/>
    <x v="2"/>
  </r>
  <r>
    <x v="131"/>
    <s v="No"/>
    <s v="No"/>
    <n v="3.3"/>
    <n v="0"/>
    <n v="150"/>
    <x v="3"/>
    <x v="2"/>
  </r>
  <r>
    <x v="132"/>
    <s v="No"/>
    <s v="No"/>
    <n v="3.1"/>
    <n v="0"/>
    <n v="400"/>
    <x v="3"/>
    <x v="1"/>
  </r>
  <r>
    <x v="133"/>
    <s v="No"/>
    <s v="No"/>
    <n v="3.3"/>
    <n v="0"/>
    <n v="150"/>
    <x v="3"/>
    <x v="2"/>
  </r>
  <r>
    <x v="134"/>
    <s v="No"/>
    <s v="No"/>
    <n v="2.9"/>
    <n v="0"/>
    <n v="250"/>
    <x v="3"/>
    <x v="2"/>
  </r>
  <r>
    <x v="135"/>
    <s v="No"/>
    <s v="No"/>
    <n v="2.9"/>
    <n v="0"/>
    <n v="250"/>
    <x v="3"/>
    <x v="2"/>
  </r>
  <r>
    <x v="136"/>
    <s v="No"/>
    <s v="No"/>
    <n v="2.9"/>
    <n v="0"/>
    <n v="150"/>
    <x v="3"/>
    <x v="2"/>
  </r>
  <r>
    <x v="137"/>
    <s v="No"/>
    <s v="No"/>
    <n v="3.3"/>
    <n v="0"/>
    <n v="200"/>
    <x v="3"/>
    <x v="2"/>
  </r>
  <r>
    <x v="138"/>
    <s v="No"/>
    <s v="No"/>
    <n v="3.3"/>
    <n v="0"/>
    <n v="350"/>
    <x v="3"/>
    <x v="1"/>
  </r>
  <r>
    <x v="139"/>
    <s v="No"/>
    <s v="No"/>
    <n v="3.3"/>
    <n v="0"/>
    <n v="300"/>
    <x v="3"/>
    <x v="1"/>
  </r>
  <r>
    <x v="140"/>
    <s v="No"/>
    <s v="No"/>
    <n v="3.3"/>
    <n v="0"/>
    <n v="100"/>
    <x v="3"/>
    <x v="2"/>
  </r>
  <r>
    <x v="141"/>
    <s v="No"/>
    <s v="No"/>
    <n v="3.3"/>
    <n v="0"/>
    <n v="150"/>
    <x v="3"/>
    <x v="2"/>
  </r>
  <r>
    <x v="142"/>
    <s v="Yes"/>
    <s v="No"/>
    <n v="4"/>
    <n v="771"/>
    <n v="450"/>
    <x v="3"/>
    <x v="1"/>
  </r>
  <r>
    <x v="143"/>
    <s v="No"/>
    <s v="No"/>
    <n v="3"/>
    <n v="98"/>
    <n v="800"/>
    <x v="3"/>
    <x v="0"/>
  </r>
  <r>
    <x v="144"/>
    <s v="Yes"/>
    <s v="No"/>
    <n v="3.9"/>
    <n v="47"/>
    <n v="200"/>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BBAECA-6F94-445F-B260-C9DE635A1B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C6" firstHeaderRow="0" firstDataRow="1" firstDataCol="1"/>
  <pivotFields count="8">
    <pivotField showAll="0"/>
    <pivotField showAll="0"/>
    <pivotField showAll="0"/>
    <pivotField dataField="1" showAll="0"/>
    <pivotField dataField="1" showAll="0"/>
    <pivotField showAll="0"/>
    <pivotField axis="axisRow" showAll="0">
      <items count="5">
        <item x="0"/>
        <item x="1"/>
        <item x="3"/>
        <item x="2"/>
        <item t="default"/>
      </items>
    </pivotField>
    <pivotField showAll="0"/>
  </pivotFields>
  <rowFields count="1">
    <field x="6"/>
  </rowFields>
  <rowItems count="5">
    <i>
      <x/>
    </i>
    <i>
      <x v="1"/>
    </i>
    <i>
      <x v="2"/>
    </i>
    <i>
      <x v="3"/>
    </i>
    <i t="grand">
      <x/>
    </i>
  </rowItems>
  <colFields count="1">
    <field x="-2"/>
  </colFields>
  <colItems count="2">
    <i>
      <x/>
    </i>
    <i i="1">
      <x v="1"/>
    </i>
  </colItems>
  <dataFields count="2">
    <dataField name="Average of rate" fld="3" subtotal="average" baseField="6" baseItem="0" numFmtId="2"/>
    <dataField name="Sum of vote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67301D-FBDC-4A63-BA55-990DA9BEEF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8">
    <pivotField dataField="1" showAll="0"/>
    <pivotField showAll="0"/>
    <pivotField showAll="0"/>
    <pivotField showAll="0"/>
    <pivotField showAll="0"/>
    <pivotField showAll="0"/>
    <pivotField showAll="0"/>
    <pivotField axis="axisRow" showAll="0">
      <items count="4">
        <item x="0"/>
        <item x="2"/>
        <item x="1"/>
        <item t="default"/>
      </items>
    </pivotField>
  </pivotFields>
  <rowFields count="1">
    <field x="7"/>
  </rowFields>
  <rowItems count="4">
    <i>
      <x/>
    </i>
    <i>
      <x v="1"/>
    </i>
    <i>
      <x v="2"/>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865B8-953C-425A-834F-26D57D21C2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8">
    <pivotField dataField="1"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pivotField showAll="0"/>
    <pivotField showAll="0"/>
    <pivotField showAll="0"/>
    <pivotField showAll="0"/>
    <pivotField axis="axisRow" showAll="0">
      <items count="5">
        <item x="0"/>
        <item x="1"/>
        <item x="3"/>
        <item x="2"/>
        <item t="default"/>
      </items>
    </pivotField>
    <pivotField showAll="0"/>
  </pivotFields>
  <rowFields count="1">
    <field x="6"/>
  </rowFields>
  <rowItems count="5">
    <i>
      <x/>
    </i>
    <i>
      <x v="1"/>
    </i>
    <i>
      <x v="2"/>
    </i>
    <i>
      <x v="3"/>
    </i>
    <i t="grand">
      <x/>
    </i>
  </rowItems>
  <colItems count="1">
    <i/>
  </colItems>
  <dataFields count="1">
    <dataField name="Count of name" fld="0" subtotal="count" baseField="0" baseItem="0"/>
  </dataFields>
  <chartFormats count="10">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6" count="1" selected="0">
            <x v="0"/>
          </reference>
        </references>
      </pivotArea>
    </chartFormat>
    <chartFormat chart="0" format="13">
      <pivotArea type="data" outline="0" fieldPosition="0">
        <references count="2">
          <reference field="4294967294" count="1" selected="0">
            <x v="0"/>
          </reference>
          <reference field="6" count="1" selected="0">
            <x v="1"/>
          </reference>
        </references>
      </pivotArea>
    </chartFormat>
    <chartFormat chart="0" format="14">
      <pivotArea type="data" outline="0" fieldPosition="0">
        <references count="2">
          <reference field="4294967294" count="1" selected="0">
            <x v="0"/>
          </reference>
          <reference field="6" count="1" selected="0">
            <x v="2"/>
          </reference>
        </references>
      </pivotArea>
    </chartFormat>
    <chartFormat chart="0" format="15">
      <pivotArea type="data" outline="0" fieldPosition="0">
        <references count="2">
          <reference field="4294967294" count="1" selected="0">
            <x v="0"/>
          </reference>
          <reference field="6" count="1" selected="0">
            <x v="3"/>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6" count="1" selected="0">
            <x v="0"/>
          </reference>
        </references>
      </pivotArea>
    </chartFormat>
    <chartFormat chart="7" format="23">
      <pivotArea type="data" outline="0" fieldPosition="0">
        <references count="2">
          <reference field="4294967294" count="1" selected="0">
            <x v="0"/>
          </reference>
          <reference field="6" count="1" selected="0">
            <x v="1"/>
          </reference>
        </references>
      </pivotArea>
    </chartFormat>
    <chartFormat chart="7" format="24">
      <pivotArea type="data" outline="0" fieldPosition="0">
        <references count="2">
          <reference field="4294967294" count="1" selected="0">
            <x v="0"/>
          </reference>
          <reference field="6" count="1" selected="0">
            <x v="2"/>
          </reference>
        </references>
      </pivotArea>
    </chartFormat>
    <chartFormat chart="7" format="2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6180FD-AE15-4E61-A391-C27C633C80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8">
    <pivotField axis="axisRow" showAll="0" measureFilter="1">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pivotField showAll="0"/>
    <pivotField showAll="0"/>
    <pivotField dataField="1" showAll="0"/>
    <pivotField showAll="0"/>
    <pivotField showAll="0"/>
    <pivotField showAll="0"/>
  </pivotFields>
  <rowFields count="1">
    <field x="0"/>
  </rowFields>
  <rowItems count="11">
    <i>
      <x v="41"/>
    </i>
    <i>
      <x v="53"/>
    </i>
    <i>
      <x v="60"/>
    </i>
    <i>
      <x v="63"/>
    </i>
    <i>
      <x v="82"/>
    </i>
    <i>
      <x v="92"/>
    </i>
    <i>
      <x v="100"/>
    </i>
    <i>
      <x v="105"/>
    </i>
    <i>
      <x v="107"/>
    </i>
    <i>
      <x v="125"/>
    </i>
    <i t="grand">
      <x/>
    </i>
  </rowItems>
  <colItems count="1">
    <i/>
  </colItems>
  <dataFields count="1">
    <dataField name="Sum of votes" fld="4" baseField="0" baseItem="0"/>
  </dataFields>
  <chartFormats count="3">
    <chartFormat chart="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order" xr10:uid="{3BE4CC5F-18DA-47D9-B2C5-D233539E2747}" sourceName="online_orde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d_in_type" xr10:uid="{558234CD-513C-4950-BB59-123EE9EAE158}" sourceName="listed_in(type)">
  <extLst>
    <x:ext xmlns:x15="http://schemas.microsoft.com/office/spreadsheetml/2010/11/main" uri="{2F2917AC-EB37-4324-AD4E-5DD8C200BD13}">
      <x15:tableSlicerCache tableId="1" column="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category" xr10:uid="{B3438B0F-2614-45D4-AA46-A5B7DC5C56EA}" sourceName="cost_categor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line_order" xr10:uid="{6C14EA25-9542-4D22-AAAE-EA4AEA8E425A}" cache="Slicer_online_order" caption="online_order" rowHeight="234950"/>
  <slicer name="listed_in(type)" xr10:uid="{52F8DC49-7A43-41E5-80A9-9D8EFB87C74B}" cache="Slicer_listed_in_type" caption="listed_in(type)" rowHeight="234950"/>
  <slicer name="cost_category" xr10:uid="{16D0E77D-DD73-4EEB-8761-6166517FE90F}" cache="Slicer_cost_category" caption="cos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632C8-5C47-4834-8D99-E9D637BF2DD4}" name="Table1" displayName="Table1" ref="A1:H149" totalsRowShown="0" headerRowDxfId="9" dataDxfId="8">
  <autoFilter ref="A1:H149" xr:uid="{BA8632C8-5C47-4834-8D99-E9D637BF2DD4}"/>
  <tableColumns count="8">
    <tableColumn id="1" xr3:uid="{C996EF99-2D40-4427-B243-3E5FFCE41C8D}" name="name" dataDxfId="7"/>
    <tableColumn id="2" xr3:uid="{8839F476-E297-416C-8F27-B9E884FF10D6}" name="online_order" dataDxfId="6"/>
    <tableColumn id="3" xr3:uid="{454E2D10-433B-4D5A-AB19-44C606799A50}" name="book_table" dataDxfId="5"/>
    <tableColumn id="4" xr3:uid="{5C77C14A-F9BA-45FF-8F22-7B5707030AAE}" name="rate" dataDxfId="4"/>
    <tableColumn id="5" xr3:uid="{6E17BB0F-FE31-4473-B8B6-DCE8AF716CCC}" name="votes" dataDxfId="3"/>
    <tableColumn id="6" xr3:uid="{3EA55963-2722-4D31-BBC0-384A6E28E509}" name="approx_cost(for two people)" dataDxfId="2"/>
    <tableColumn id="7" xr3:uid="{D3FA0D9A-9966-4372-8083-18B0FFE4927B}" name="listed_in(type)" dataDxfId="1"/>
    <tableColumn id="8" xr3:uid="{70621022-11DC-43E9-8C88-9B3B700BB40D}" name="cost_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ED51-C91F-40F7-BA3A-5F9C392CF16D}">
  <dimension ref="A1:C6"/>
  <sheetViews>
    <sheetView workbookViewId="0">
      <selection activeCell="I26" sqref="I26"/>
    </sheetView>
  </sheetViews>
  <sheetFormatPr defaultRowHeight="14.4" x14ac:dyDescent="0.3"/>
  <cols>
    <col min="1" max="1" width="12.5546875" bestFit="1" customWidth="1"/>
    <col min="2" max="2" width="14" bestFit="1" customWidth="1"/>
    <col min="3" max="3" width="12" bestFit="1" customWidth="1"/>
  </cols>
  <sheetData>
    <row r="1" spans="1:3" x14ac:dyDescent="0.3">
      <c r="A1" s="4" t="s">
        <v>172</v>
      </c>
      <c r="B1" t="s">
        <v>174</v>
      </c>
      <c r="C1" t="s">
        <v>175</v>
      </c>
    </row>
    <row r="2" spans="1:3" x14ac:dyDescent="0.3">
      <c r="A2" s="5" t="s">
        <v>10</v>
      </c>
      <c r="B2" s="6">
        <v>3.842857142857143</v>
      </c>
      <c r="C2">
        <v>3028</v>
      </c>
    </row>
    <row r="3" spans="1:3" x14ac:dyDescent="0.3">
      <c r="A3" s="5" t="s">
        <v>21</v>
      </c>
      <c r="B3" s="6">
        <v>3.7652173913043474</v>
      </c>
      <c r="C3">
        <v>6434</v>
      </c>
    </row>
    <row r="4" spans="1:3" x14ac:dyDescent="0.3">
      <c r="A4" s="5" t="s">
        <v>48</v>
      </c>
      <c r="B4" s="6">
        <v>3.5718181818181796</v>
      </c>
      <c r="C4">
        <v>20363</v>
      </c>
    </row>
    <row r="5" spans="1:3" x14ac:dyDescent="0.3">
      <c r="A5" s="5" t="s">
        <v>23</v>
      </c>
      <c r="B5" s="6">
        <v>3.9124999999999996</v>
      </c>
      <c r="C5">
        <v>9367</v>
      </c>
    </row>
    <row r="6" spans="1:3" x14ac:dyDescent="0.3">
      <c r="A6" s="5" t="s">
        <v>173</v>
      </c>
      <c r="B6" s="6">
        <v>3.6331081081081078</v>
      </c>
      <c r="C6">
        <v>39192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A58A2-D846-4B5D-A854-7C960185A953}">
  <dimension ref="A3:B7"/>
  <sheetViews>
    <sheetView workbookViewId="0">
      <selection activeCell="D19" sqref="D19"/>
    </sheetView>
  </sheetViews>
  <sheetFormatPr defaultRowHeight="14.4" x14ac:dyDescent="0.3"/>
  <cols>
    <col min="1" max="1" width="12.5546875" bestFit="1" customWidth="1"/>
    <col min="2" max="2" width="13.6640625" bestFit="1" customWidth="1"/>
  </cols>
  <sheetData>
    <row r="3" spans="1:2" x14ac:dyDescent="0.3">
      <c r="A3" s="4" t="s">
        <v>172</v>
      </c>
      <c r="B3" t="s">
        <v>176</v>
      </c>
    </row>
    <row r="4" spans="1:2" x14ac:dyDescent="0.3">
      <c r="A4" s="5" t="s">
        <v>11</v>
      </c>
      <c r="B4">
        <v>25</v>
      </c>
    </row>
    <row r="5" spans="1:2" x14ac:dyDescent="0.3">
      <c r="A5" s="5" t="s">
        <v>41</v>
      </c>
      <c r="B5">
        <v>44</v>
      </c>
    </row>
    <row r="6" spans="1:2" x14ac:dyDescent="0.3">
      <c r="A6" s="5" t="s">
        <v>16</v>
      </c>
      <c r="B6">
        <v>79</v>
      </c>
    </row>
    <row r="7" spans="1:2" x14ac:dyDescent="0.3">
      <c r="A7" s="5" t="s">
        <v>173</v>
      </c>
      <c r="B7">
        <v>148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2E18-B4C2-44AF-97E3-D4909CB2ACC2}">
  <dimension ref="A3:B8"/>
  <sheetViews>
    <sheetView workbookViewId="0">
      <selection activeCell="S8" sqref="S8"/>
    </sheetView>
  </sheetViews>
  <sheetFormatPr defaultRowHeight="14.4" x14ac:dyDescent="0.3"/>
  <cols>
    <col min="1" max="1" width="12.5546875" bestFit="1" customWidth="1"/>
    <col min="2" max="2" width="13.6640625" bestFit="1" customWidth="1"/>
  </cols>
  <sheetData>
    <row r="3" spans="1:2" x14ac:dyDescent="0.3">
      <c r="A3" s="4" t="s">
        <v>172</v>
      </c>
      <c r="B3" t="s">
        <v>176</v>
      </c>
    </row>
    <row r="4" spans="1:2" x14ac:dyDescent="0.3">
      <c r="A4" s="5" t="s">
        <v>10</v>
      </c>
      <c r="B4">
        <v>7</v>
      </c>
    </row>
    <row r="5" spans="1:2" x14ac:dyDescent="0.3">
      <c r="A5" s="5" t="s">
        <v>21</v>
      </c>
      <c r="B5">
        <v>23</v>
      </c>
    </row>
    <row r="6" spans="1:2" x14ac:dyDescent="0.3">
      <c r="A6" s="5" t="s">
        <v>48</v>
      </c>
      <c r="B6">
        <v>110</v>
      </c>
    </row>
    <row r="7" spans="1:2" x14ac:dyDescent="0.3">
      <c r="A7" s="5" t="s">
        <v>23</v>
      </c>
      <c r="B7">
        <v>8</v>
      </c>
    </row>
    <row r="8" spans="1:2" x14ac:dyDescent="0.3">
      <c r="A8" s="5" t="s">
        <v>173</v>
      </c>
      <c r="B8">
        <v>148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9AE7-70B2-4134-A825-83174A8C9B1C}">
  <dimension ref="A3:B14"/>
  <sheetViews>
    <sheetView workbookViewId="0">
      <selection activeCell="P12" sqref="P12"/>
    </sheetView>
  </sheetViews>
  <sheetFormatPr defaultRowHeight="14.4" x14ac:dyDescent="0.3"/>
  <cols>
    <col min="1" max="1" width="17.5546875" bestFit="1" customWidth="1"/>
    <col min="2" max="2" width="12" bestFit="1" customWidth="1"/>
  </cols>
  <sheetData>
    <row r="3" spans="1:2" x14ac:dyDescent="0.3">
      <c r="A3" s="4" t="s">
        <v>172</v>
      </c>
      <c r="B3" t="s">
        <v>175</v>
      </c>
    </row>
    <row r="4" spans="1:2" x14ac:dyDescent="0.3">
      <c r="A4" s="5" t="s">
        <v>54</v>
      </c>
      <c r="B4">
        <v>4884</v>
      </c>
    </row>
    <row r="5" spans="1:2" x14ac:dyDescent="0.3">
      <c r="A5" s="5" t="s">
        <v>82</v>
      </c>
      <c r="B5">
        <v>868</v>
      </c>
    </row>
    <row r="6" spans="1:2" x14ac:dyDescent="0.3">
      <c r="A6" s="5" t="s">
        <v>78</v>
      </c>
      <c r="B6">
        <v>808</v>
      </c>
    </row>
    <row r="7" spans="1:2" x14ac:dyDescent="0.3">
      <c r="A7" s="5" t="s">
        <v>80</v>
      </c>
      <c r="B7">
        <v>1720</v>
      </c>
    </row>
    <row r="8" spans="1:2" x14ac:dyDescent="0.3">
      <c r="A8" s="5" t="s">
        <v>101</v>
      </c>
      <c r="B8">
        <v>4401</v>
      </c>
    </row>
    <row r="9" spans="1:2" x14ac:dyDescent="0.3">
      <c r="A9" s="5" t="s">
        <v>20</v>
      </c>
      <c r="B9">
        <v>5112</v>
      </c>
    </row>
    <row r="10" spans="1:2" x14ac:dyDescent="0.3">
      <c r="A10" s="5" t="s">
        <v>62</v>
      </c>
      <c r="B10">
        <v>804</v>
      </c>
    </row>
    <row r="11" spans="1:2" x14ac:dyDescent="0.3">
      <c r="A11" s="5" t="s">
        <v>69</v>
      </c>
      <c r="B11">
        <v>1047</v>
      </c>
    </row>
    <row r="12" spans="1:2" x14ac:dyDescent="0.3">
      <c r="A12" s="5" t="s">
        <v>14</v>
      </c>
      <c r="B12">
        <v>1836</v>
      </c>
    </row>
    <row r="13" spans="1:2" x14ac:dyDescent="0.3">
      <c r="A13" s="5" t="s">
        <v>53</v>
      </c>
      <c r="B13">
        <v>1647</v>
      </c>
    </row>
    <row r="14" spans="1:2" x14ac:dyDescent="0.3">
      <c r="A14" s="5" t="s">
        <v>173</v>
      </c>
      <c r="B14">
        <v>23127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77C5-2225-4B44-97FA-1BDFE0A0052A}">
  <dimension ref="A1:H149"/>
  <sheetViews>
    <sheetView topLeftCell="A130" workbookViewId="0">
      <selection activeCell="A4" sqref="A4"/>
    </sheetView>
  </sheetViews>
  <sheetFormatPr defaultRowHeight="14.4" x14ac:dyDescent="0.3"/>
  <cols>
    <col min="1" max="1" width="14.6640625" customWidth="1"/>
    <col min="2" max="2" width="14.77734375" customWidth="1"/>
    <col min="3" max="3" width="14.109375" customWidth="1"/>
    <col min="4" max="4" width="14.88671875" customWidth="1"/>
    <col min="5" max="5" width="15.88671875" customWidth="1"/>
    <col min="6" max="6" width="26.88671875" customWidth="1"/>
    <col min="7" max="7" width="15" customWidth="1"/>
    <col min="8" max="8" width="14.6640625" customWidth="1"/>
  </cols>
  <sheetData>
    <row r="1" spans="1:8" x14ac:dyDescent="0.3">
      <c r="A1" s="1" t="s">
        <v>0</v>
      </c>
      <c r="B1" s="1" t="s">
        <v>1</v>
      </c>
      <c r="C1" s="1" t="s">
        <v>2</v>
      </c>
      <c r="D1" s="1" t="s">
        <v>3</v>
      </c>
      <c r="E1" s="1" t="s">
        <v>4</v>
      </c>
      <c r="F1" s="1" t="s">
        <v>5</v>
      </c>
      <c r="G1" s="1" t="s">
        <v>6</v>
      </c>
      <c r="H1" s="1" t="s">
        <v>7</v>
      </c>
    </row>
    <row r="2" spans="1:8" x14ac:dyDescent="0.3">
      <c r="A2" s="1" t="s">
        <v>8</v>
      </c>
      <c r="B2" s="1" t="s">
        <v>9</v>
      </c>
      <c r="C2" s="1" t="s">
        <v>9</v>
      </c>
      <c r="D2" s="1">
        <v>4.0999999999999996</v>
      </c>
      <c r="E2" s="1">
        <v>775</v>
      </c>
      <c r="F2" s="1">
        <v>800</v>
      </c>
      <c r="G2" s="1" t="s">
        <v>10</v>
      </c>
      <c r="H2" s="1" t="s">
        <v>11</v>
      </c>
    </row>
    <row r="3" spans="1:8" x14ac:dyDescent="0.3">
      <c r="A3" s="1" t="s">
        <v>12</v>
      </c>
      <c r="B3" s="1" t="s">
        <v>9</v>
      </c>
      <c r="C3" s="1" t="s">
        <v>13</v>
      </c>
      <c r="D3" s="1">
        <v>4.0999999999999996</v>
      </c>
      <c r="E3" s="1">
        <v>787</v>
      </c>
      <c r="F3" s="1">
        <v>800</v>
      </c>
      <c r="G3" s="1" t="s">
        <v>10</v>
      </c>
      <c r="H3" s="1" t="s">
        <v>11</v>
      </c>
    </row>
    <row r="4" spans="1:8" x14ac:dyDescent="0.3">
      <c r="A4" s="1" t="s">
        <v>14</v>
      </c>
      <c r="B4" s="1" t="s">
        <v>9</v>
      </c>
      <c r="C4" s="1" t="s">
        <v>13</v>
      </c>
      <c r="D4" s="1">
        <v>3.8</v>
      </c>
      <c r="E4" s="1">
        <v>918</v>
      </c>
      <c r="F4" s="1">
        <v>800</v>
      </c>
      <c r="G4" s="1" t="s">
        <v>10</v>
      </c>
      <c r="H4" s="1" t="s">
        <v>11</v>
      </c>
    </row>
    <row r="5" spans="1:8" x14ac:dyDescent="0.3">
      <c r="A5" s="1" t="s">
        <v>15</v>
      </c>
      <c r="B5" s="1" t="s">
        <v>13</v>
      </c>
      <c r="C5" s="1" t="s">
        <v>13</v>
      </c>
      <c r="D5" s="1">
        <v>3.7</v>
      </c>
      <c r="E5" s="1">
        <v>88</v>
      </c>
      <c r="F5" s="1">
        <v>300</v>
      </c>
      <c r="G5" s="1" t="s">
        <v>10</v>
      </c>
      <c r="H5" s="1" t="s">
        <v>16</v>
      </c>
    </row>
    <row r="6" spans="1:8" x14ac:dyDescent="0.3">
      <c r="A6" s="1" t="s">
        <v>17</v>
      </c>
      <c r="B6" s="1" t="s">
        <v>13</v>
      </c>
      <c r="C6" s="1" t="s">
        <v>13</v>
      </c>
      <c r="D6" s="1">
        <v>3.8</v>
      </c>
      <c r="E6" s="1">
        <v>166</v>
      </c>
      <c r="F6" s="1">
        <v>600</v>
      </c>
      <c r="G6" s="1" t="s">
        <v>10</v>
      </c>
      <c r="H6" s="1" t="s">
        <v>16</v>
      </c>
    </row>
    <row r="7" spans="1:8" x14ac:dyDescent="0.3">
      <c r="A7" s="1" t="s">
        <v>18</v>
      </c>
      <c r="B7" s="1" t="s">
        <v>9</v>
      </c>
      <c r="C7" s="1" t="s">
        <v>13</v>
      </c>
      <c r="D7" s="1">
        <v>3.8</v>
      </c>
      <c r="E7" s="1">
        <v>286</v>
      </c>
      <c r="F7" s="1">
        <v>600</v>
      </c>
      <c r="G7" s="1" t="s">
        <v>10</v>
      </c>
      <c r="H7" s="1" t="s">
        <v>16</v>
      </c>
    </row>
    <row r="8" spans="1:8" x14ac:dyDescent="0.3">
      <c r="A8" s="1" t="s">
        <v>19</v>
      </c>
      <c r="B8" s="1" t="s">
        <v>13</v>
      </c>
      <c r="C8" s="1" t="s">
        <v>13</v>
      </c>
      <c r="D8" s="1">
        <v>3.6</v>
      </c>
      <c r="E8" s="1">
        <v>8</v>
      </c>
      <c r="F8" s="1">
        <v>800</v>
      </c>
      <c r="G8" s="1" t="s">
        <v>10</v>
      </c>
      <c r="H8" s="1" t="s">
        <v>11</v>
      </c>
    </row>
    <row r="9" spans="1:8" x14ac:dyDescent="0.3">
      <c r="A9" s="1" t="s">
        <v>20</v>
      </c>
      <c r="B9" s="1" t="s">
        <v>9</v>
      </c>
      <c r="C9" s="1" t="s">
        <v>9</v>
      </c>
      <c r="D9" s="1">
        <v>4.5999999999999996</v>
      </c>
      <c r="E9" s="1">
        <v>2556</v>
      </c>
      <c r="F9" s="1">
        <v>600</v>
      </c>
      <c r="G9" s="1" t="s">
        <v>21</v>
      </c>
      <c r="H9" s="1" t="s">
        <v>16</v>
      </c>
    </row>
    <row r="10" spans="1:8" x14ac:dyDescent="0.3">
      <c r="A10" s="1" t="s">
        <v>22</v>
      </c>
      <c r="B10" s="1" t="s">
        <v>9</v>
      </c>
      <c r="C10" s="1" t="s">
        <v>13</v>
      </c>
      <c r="D10" s="1">
        <v>4</v>
      </c>
      <c r="E10" s="1">
        <v>324</v>
      </c>
      <c r="F10" s="1">
        <v>700</v>
      </c>
      <c r="G10" s="1" t="s">
        <v>23</v>
      </c>
      <c r="H10" s="1" t="s">
        <v>11</v>
      </c>
    </row>
    <row r="11" spans="1:8" x14ac:dyDescent="0.3">
      <c r="A11" s="1" t="s">
        <v>24</v>
      </c>
      <c r="B11" s="1" t="s">
        <v>9</v>
      </c>
      <c r="C11" s="1" t="s">
        <v>13</v>
      </c>
      <c r="D11" s="1">
        <v>4.2</v>
      </c>
      <c r="E11" s="1">
        <v>504</v>
      </c>
      <c r="F11" s="1">
        <v>550</v>
      </c>
      <c r="G11" s="1" t="s">
        <v>21</v>
      </c>
      <c r="H11" s="1" t="s">
        <v>16</v>
      </c>
    </row>
    <row r="12" spans="1:8" x14ac:dyDescent="0.3">
      <c r="A12" s="1" t="s">
        <v>25</v>
      </c>
      <c r="B12" s="1" t="s">
        <v>9</v>
      </c>
      <c r="C12" s="1" t="s">
        <v>13</v>
      </c>
      <c r="D12" s="1">
        <v>4.0999999999999996</v>
      </c>
      <c r="E12" s="1">
        <v>402</v>
      </c>
      <c r="F12" s="1">
        <v>500</v>
      </c>
      <c r="G12" s="1" t="s">
        <v>21</v>
      </c>
      <c r="H12" s="1" t="s">
        <v>16</v>
      </c>
    </row>
    <row r="13" spans="1:8" x14ac:dyDescent="0.3">
      <c r="A13" s="1" t="s">
        <v>26</v>
      </c>
      <c r="B13" s="1" t="s">
        <v>9</v>
      </c>
      <c r="C13" s="1" t="s">
        <v>9</v>
      </c>
      <c r="D13" s="1">
        <v>4.2</v>
      </c>
      <c r="E13" s="1">
        <v>150</v>
      </c>
      <c r="F13" s="1">
        <v>600</v>
      </c>
      <c r="G13" s="1" t="s">
        <v>21</v>
      </c>
      <c r="H13" s="1" t="s">
        <v>16</v>
      </c>
    </row>
    <row r="14" spans="1:8" x14ac:dyDescent="0.3">
      <c r="A14" s="1" t="s">
        <v>27</v>
      </c>
      <c r="B14" s="1" t="s">
        <v>9</v>
      </c>
      <c r="C14" s="1" t="s">
        <v>9</v>
      </c>
      <c r="D14" s="1">
        <v>4.2</v>
      </c>
      <c r="E14" s="1">
        <v>164</v>
      </c>
      <c r="F14" s="1">
        <v>500</v>
      </c>
      <c r="G14" s="1" t="s">
        <v>21</v>
      </c>
      <c r="H14" s="1" t="s">
        <v>16</v>
      </c>
    </row>
    <row r="15" spans="1:8" x14ac:dyDescent="0.3">
      <c r="A15" s="1" t="s">
        <v>28</v>
      </c>
      <c r="B15" s="1" t="s">
        <v>13</v>
      </c>
      <c r="C15" s="1" t="s">
        <v>13</v>
      </c>
      <c r="D15" s="1">
        <v>4</v>
      </c>
      <c r="E15" s="1">
        <v>424</v>
      </c>
      <c r="F15" s="1">
        <v>450</v>
      </c>
      <c r="G15" s="1" t="s">
        <v>21</v>
      </c>
      <c r="H15" s="1" t="s">
        <v>16</v>
      </c>
    </row>
    <row r="16" spans="1:8" x14ac:dyDescent="0.3">
      <c r="A16" s="1" t="s">
        <v>14</v>
      </c>
      <c r="B16" s="1" t="s">
        <v>9</v>
      </c>
      <c r="C16" s="1" t="s">
        <v>13</v>
      </c>
      <c r="D16" s="1">
        <v>3.8</v>
      </c>
      <c r="E16" s="1">
        <v>918</v>
      </c>
      <c r="F16" s="1">
        <v>800</v>
      </c>
      <c r="G16" s="1" t="s">
        <v>21</v>
      </c>
      <c r="H16" s="1" t="s">
        <v>11</v>
      </c>
    </row>
    <row r="17" spans="1:8" x14ac:dyDescent="0.3">
      <c r="A17" s="1" t="s">
        <v>29</v>
      </c>
      <c r="B17" s="1" t="s">
        <v>9</v>
      </c>
      <c r="C17" s="1" t="s">
        <v>13</v>
      </c>
      <c r="D17" s="1">
        <v>3.8</v>
      </c>
      <c r="E17" s="1">
        <v>90</v>
      </c>
      <c r="F17" s="1">
        <v>650</v>
      </c>
      <c r="G17" s="1" t="s">
        <v>21</v>
      </c>
      <c r="H17" s="1" t="s">
        <v>16</v>
      </c>
    </row>
    <row r="18" spans="1:8" x14ac:dyDescent="0.3">
      <c r="A18" s="1" t="s">
        <v>30</v>
      </c>
      <c r="B18" s="1" t="s">
        <v>9</v>
      </c>
      <c r="C18" s="1" t="s">
        <v>13</v>
      </c>
      <c r="D18" s="1">
        <v>3.9</v>
      </c>
      <c r="E18" s="1">
        <v>133</v>
      </c>
      <c r="F18" s="1">
        <v>800</v>
      </c>
      <c r="G18" s="1" t="s">
        <v>21</v>
      </c>
      <c r="H18" s="1" t="s">
        <v>11</v>
      </c>
    </row>
    <row r="19" spans="1:8" x14ac:dyDescent="0.3">
      <c r="A19" s="1" t="s">
        <v>31</v>
      </c>
      <c r="B19" s="1" t="s">
        <v>9</v>
      </c>
      <c r="C19" s="1" t="s">
        <v>13</v>
      </c>
      <c r="D19" s="1">
        <v>3.8</v>
      </c>
      <c r="E19" s="1">
        <v>144</v>
      </c>
      <c r="F19" s="1">
        <v>700</v>
      </c>
      <c r="G19" s="1" t="s">
        <v>21</v>
      </c>
      <c r="H19" s="1" t="s">
        <v>11</v>
      </c>
    </row>
    <row r="20" spans="1:8" x14ac:dyDescent="0.3">
      <c r="A20" s="1" t="s">
        <v>32</v>
      </c>
      <c r="B20" s="1" t="s">
        <v>13</v>
      </c>
      <c r="C20" s="1" t="s">
        <v>13</v>
      </c>
      <c r="D20" s="1">
        <v>3.9</v>
      </c>
      <c r="E20" s="1">
        <v>93</v>
      </c>
      <c r="F20" s="1">
        <v>300</v>
      </c>
      <c r="G20" s="1" t="s">
        <v>21</v>
      </c>
      <c r="H20" s="1" t="s">
        <v>16</v>
      </c>
    </row>
    <row r="21" spans="1:8" x14ac:dyDescent="0.3">
      <c r="A21" s="1" t="s">
        <v>33</v>
      </c>
      <c r="B21" s="1" t="s">
        <v>9</v>
      </c>
      <c r="C21" s="1" t="s">
        <v>13</v>
      </c>
      <c r="D21" s="1">
        <v>3.1</v>
      </c>
      <c r="E21" s="1">
        <v>13</v>
      </c>
      <c r="F21" s="1">
        <v>400</v>
      </c>
      <c r="G21" s="1" t="s">
        <v>21</v>
      </c>
      <c r="H21" s="1" t="s">
        <v>16</v>
      </c>
    </row>
    <row r="22" spans="1:8" x14ac:dyDescent="0.3">
      <c r="A22" s="1" t="s">
        <v>34</v>
      </c>
      <c r="B22" s="1" t="s">
        <v>9</v>
      </c>
      <c r="C22" s="1" t="s">
        <v>13</v>
      </c>
      <c r="D22" s="1">
        <v>3</v>
      </c>
      <c r="E22" s="1">
        <v>62</v>
      </c>
      <c r="F22" s="1">
        <v>400</v>
      </c>
      <c r="G22" s="1" t="s">
        <v>21</v>
      </c>
      <c r="H22" s="1" t="s">
        <v>16</v>
      </c>
    </row>
    <row r="23" spans="1:8" x14ac:dyDescent="0.3">
      <c r="A23" s="1" t="s">
        <v>35</v>
      </c>
      <c r="B23" s="1" t="s">
        <v>9</v>
      </c>
      <c r="C23" s="1" t="s">
        <v>13</v>
      </c>
      <c r="D23" s="1">
        <v>3.7</v>
      </c>
      <c r="E23" s="1">
        <v>180</v>
      </c>
      <c r="F23" s="1">
        <v>500</v>
      </c>
      <c r="G23" s="1" t="s">
        <v>21</v>
      </c>
      <c r="H23" s="1" t="s">
        <v>16</v>
      </c>
    </row>
    <row r="24" spans="1:8" x14ac:dyDescent="0.3">
      <c r="A24" s="1" t="s">
        <v>36</v>
      </c>
      <c r="B24" s="1" t="s">
        <v>13</v>
      </c>
      <c r="C24" s="1" t="s">
        <v>13</v>
      </c>
      <c r="D24" s="1">
        <v>3.6</v>
      </c>
      <c r="E24" s="1">
        <v>28</v>
      </c>
      <c r="F24" s="1">
        <v>900</v>
      </c>
      <c r="G24" s="1" t="s">
        <v>21</v>
      </c>
      <c r="H24" s="1" t="s">
        <v>11</v>
      </c>
    </row>
    <row r="25" spans="1:8" x14ac:dyDescent="0.3">
      <c r="A25" s="1" t="s">
        <v>37</v>
      </c>
      <c r="B25" s="1" t="s">
        <v>9</v>
      </c>
      <c r="C25" s="1" t="s">
        <v>13</v>
      </c>
      <c r="D25" s="1">
        <v>3.6</v>
      </c>
      <c r="E25" s="1">
        <v>62</v>
      </c>
      <c r="F25" s="1">
        <v>600</v>
      </c>
      <c r="G25" s="1" t="s">
        <v>21</v>
      </c>
      <c r="H25" s="1" t="s">
        <v>16</v>
      </c>
    </row>
    <row r="26" spans="1:8" ht="12" customHeight="1" x14ac:dyDescent="0.3">
      <c r="A26" s="1" t="s">
        <v>38</v>
      </c>
      <c r="B26" s="1" t="s">
        <v>13</v>
      </c>
      <c r="C26" s="1" t="s">
        <v>13</v>
      </c>
      <c r="D26" s="1">
        <v>3.7</v>
      </c>
      <c r="E26" s="1">
        <v>31</v>
      </c>
      <c r="F26" s="1">
        <v>300</v>
      </c>
      <c r="G26" s="1" t="s">
        <v>21</v>
      </c>
      <c r="H26" s="1" t="s">
        <v>16</v>
      </c>
    </row>
    <row r="27" spans="1:8" ht="13.2" customHeight="1" x14ac:dyDescent="0.3">
      <c r="A27" s="1" t="s">
        <v>39</v>
      </c>
      <c r="B27" s="1" t="s">
        <v>13</v>
      </c>
      <c r="C27" s="1" t="s">
        <v>13</v>
      </c>
      <c r="D27" s="1">
        <v>3.2</v>
      </c>
      <c r="E27" s="1">
        <v>11</v>
      </c>
      <c r="F27" s="1">
        <v>600</v>
      </c>
      <c r="G27" s="1" t="s">
        <v>21</v>
      </c>
      <c r="H27" s="1" t="s">
        <v>16</v>
      </c>
    </row>
    <row r="28" spans="1:8" ht="13.2" customHeight="1" x14ac:dyDescent="0.3">
      <c r="A28" s="1" t="s">
        <v>40</v>
      </c>
      <c r="B28" s="1" t="s">
        <v>9</v>
      </c>
      <c r="C28" s="1" t="s">
        <v>13</v>
      </c>
      <c r="D28" s="1">
        <v>3.8</v>
      </c>
      <c r="E28" s="1">
        <v>75</v>
      </c>
      <c r="F28" s="1">
        <v>200</v>
      </c>
      <c r="G28" s="1" t="s">
        <v>21</v>
      </c>
      <c r="H28" s="1" t="s">
        <v>41</v>
      </c>
    </row>
    <row r="29" spans="1:8" ht="11.4" customHeight="1" x14ac:dyDescent="0.3">
      <c r="A29" s="1" t="s">
        <v>42</v>
      </c>
      <c r="B29" s="1" t="s">
        <v>13</v>
      </c>
      <c r="C29" s="1" t="s">
        <v>13</v>
      </c>
      <c r="D29" s="1">
        <v>3.3</v>
      </c>
      <c r="E29" s="1">
        <v>4</v>
      </c>
      <c r="F29" s="1">
        <v>500</v>
      </c>
      <c r="G29" s="1" t="s">
        <v>21</v>
      </c>
      <c r="H29" s="1" t="s">
        <v>16</v>
      </c>
    </row>
    <row r="30" spans="1:8" ht="10.8" customHeight="1" x14ac:dyDescent="0.3">
      <c r="A30" s="1" t="s">
        <v>43</v>
      </c>
      <c r="B30" s="1" t="s">
        <v>13</v>
      </c>
      <c r="C30" s="1" t="s">
        <v>13</v>
      </c>
      <c r="D30" s="1">
        <v>3.3</v>
      </c>
      <c r="E30" s="1">
        <v>23</v>
      </c>
      <c r="F30" s="1">
        <v>550</v>
      </c>
      <c r="G30" s="1" t="s">
        <v>21</v>
      </c>
      <c r="H30" s="1" t="s">
        <v>16</v>
      </c>
    </row>
    <row r="31" spans="1:8" ht="13.2" customHeight="1" x14ac:dyDescent="0.3">
      <c r="A31" s="1" t="s">
        <v>44</v>
      </c>
      <c r="B31" s="1" t="s">
        <v>13</v>
      </c>
      <c r="C31" s="1" t="s">
        <v>13</v>
      </c>
      <c r="D31" s="1">
        <v>3.8</v>
      </c>
      <c r="E31" s="1">
        <v>148</v>
      </c>
      <c r="F31" s="1">
        <v>550</v>
      </c>
      <c r="G31" s="1" t="s">
        <v>21</v>
      </c>
      <c r="H31" s="1" t="s">
        <v>16</v>
      </c>
    </row>
    <row r="32" spans="1:8" ht="13.8" customHeight="1" x14ac:dyDescent="0.3">
      <c r="A32" s="1" t="s">
        <v>45</v>
      </c>
      <c r="B32" s="1" t="s">
        <v>9</v>
      </c>
      <c r="C32" s="1" t="s">
        <v>13</v>
      </c>
      <c r="D32" s="1">
        <v>4</v>
      </c>
      <c r="E32" s="1">
        <v>219</v>
      </c>
      <c r="F32" s="1">
        <v>600</v>
      </c>
      <c r="G32" s="1" t="s">
        <v>21</v>
      </c>
      <c r="H32" s="1" t="s">
        <v>16</v>
      </c>
    </row>
    <row r="33" spans="1:8" ht="16.2" customHeight="1" x14ac:dyDescent="0.3">
      <c r="A33" s="1" t="s">
        <v>46</v>
      </c>
      <c r="B33" s="1" t="s">
        <v>9</v>
      </c>
      <c r="C33" s="1" t="s">
        <v>13</v>
      </c>
      <c r="D33" s="1">
        <v>2.8</v>
      </c>
      <c r="E33" s="1">
        <v>506</v>
      </c>
      <c r="F33" s="1">
        <v>500</v>
      </c>
      <c r="G33" s="1" t="s">
        <v>23</v>
      </c>
      <c r="H33" s="1" t="s">
        <v>16</v>
      </c>
    </row>
    <row r="34" spans="1:8" x14ac:dyDescent="0.3">
      <c r="A34" s="1" t="s">
        <v>47</v>
      </c>
      <c r="B34" s="1" t="s">
        <v>9</v>
      </c>
      <c r="C34" s="1" t="s">
        <v>13</v>
      </c>
      <c r="D34" s="1">
        <v>3.9</v>
      </c>
      <c r="E34" s="1">
        <v>35</v>
      </c>
      <c r="F34" s="1">
        <v>500</v>
      </c>
      <c r="G34" s="1" t="s">
        <v>48</v>
      </c>
      <c r="H34" s="1" t="s">
        <v>16</v>
      </c>
    </row>
    <row r="35" spans="1:8" x14ac:dyDescent="0.3">
      <c r="A35" s="1" t="s">
        <v>49</v>
      </c>
      <c r="B35" s="1" t="s">
        <v>9</v>
      </c>
      <c r="C35" s="1" t="s">
        <v>13</v>
      </c>
      <c r="D35" s="1">
        <v>3.9</v>
      </c>
      <c r="E35" s="1">
        <v>172</v>
      </c>
      <c r="F35" s="1">
        <v>750</v>
      </c>
      <c r="G35" s="1" t="s">
        <v>48</v>
      </c>
      <c r="H35" s="1" t="s">
        <v>11</v>
      </c>
    </row>
    <row r="36" spans="1:8" x14ac:dyDescent="0.3">
      <c r="A36" s="1" t="s">
        <v>50</v>
      </c>
      <c r="B36" s="1" t="s">
        <v>9</v>
      </c>
      <c r="C36" s="1" t="s">
        <v>13</v>
      </c>
      <c r="D36" s="1">
        <v>4.2</v>
      </c>
      <c r="E36" s="1">
        <v>415</v>
      </c>
      <c r="F36" s="1">
        <v>500</v>
      </c>
      <c r="G36" s="1" t="s">
        <v>23</v>
      </c>
      <c r="H36" s="1" t="s">
        <v>16</v>
      </c>
    </row>
    <row r="37" spans="1:8" x14ac:dyDescent="0.3">
      <c r="A37" s="1" t="s">
        <v>51</v>
      </c>
      <c r="B37" s="1" t="s">
        <v>9</v>
      </c>
      <c r="C37" s="1" t="s">
        <v>13</v>
      </c>
      <c r="D37" s="1">
        <v>3.9</v>
      </c>
      <c r="E37" s="1">
        <v>230</v>
      </c>
      <c r="F37" s="1">
        <v>650</v>
      </c>
      <c r="G37" s="1" t="s">
        <v>48</v>
      </c>
      <c r="H37" s="1" t="s">
        <v>16</v>
      </c>
    </row>
    <row r="38" spans="1:8" x14ac:dyDescent="0.3">
      <c r="A38" s="1" t="s">
        <v>52</v>
      </c>
      <c r="B38" s="1" t="s">
        <v>9</v>
      </c>
      <c r="C38" s="1" t="s">
        <v>13</v>
      </c>
      <c r="D38" s="1">
        <v>2.8</v>
      </c>
      <c r="E38" s="1">
        <v>91</v>
      </c>
      <c r="F38" s="1">
        <v>400</v>
      </c>
      <c r="G38" s="1" t="s">
        <v>48</v>
      </c>
      <c r="H38" s="1" t="s">
        <v>16</v>
      </c>
    </row>
    <row r="39" spans="1:8" x14ac:dyDescent="0.3">
      <c r="A39" s="1" t="s">
        <v>53</v>
      </c>
      <c r="B39" s="1" t="s">
        <v>9</v>
      </c>
      <c r="C39" s="1" t="s">
        <v>13</v>
      </c>
      <c r="D39" s="1">
        <v>4.2</v>
      </c>
      <c r="E39" s="1">
        <v>1647</v>
      </c>
      <c r="F39" s="1">
        <v>600</v>
      </c>
      <c r="G39" s="1" t="s">
        <v>48</v>
      </c>
      <c r="H39" s="1" t="s">
        <v>16</v>
      </c>
    </row>
    <row r="40" spans="1:8" x14ac:dyDescent="0.3">
      <c r="A40" s="1" t="s">
        <v>54</v>
      </c>
      <c r="B40" s="1" t="s">
        <v>9</v>
      </c>
      <c r="C40" s="1" t="s">
        <v>13</v>
      </c>
      <c r="D40" s="1">
        <v>4.4000000000000004</v>
      </c>
      <c r="E40" s="1">
        <v>4884</v>
      </c>
      <c r="F40" s="1">
        <v>750</v>
      </c>
      <c r="G40" s="1" t="s">
        <v>23</v>
      </c>
      <c r="H40" s="1" t="s">
        <v>11</v>
      </c>
    </row>
    <row r="41" spans="1:8" x14ac:dyDescent="0.3">
      <c r="A41" s="1" t="s">
        <v>55</v>
      </c>
      <c r="B41" s="1" t="s">
        <v>9</v>
      </c>
      <c r="C41" s="1" t="s">
        <v>13</v>
      </c>
      <c r="D41" s="1">
        <v>4</v>
      </c>
      <c r="E41" s="1">
        <v>17</v>
      </c>
      <c r="F41" s="1">
        <v>150</v>
      </c>
      <c r="G41" s="1" t="s">
        <v>48</v>
      </c>
      <c r="H41" s="1" t="s">
        <v>41</v>
      </c>
    </row>
    <row r="42" spans="1:8" x14ac:dyDescent="0.3">
      <c r="A42" s="1" t="s">
        <v>56</v>
      </c>
      <c r="B42" s="1" t="s">
        <v>9</v>
      </c>
      <c r="C42" s="1" t="s">
        <v>13</v>
      </c>
      <c r="D42" s="1">
        <v>3.8</v>
      </c>
      <c r="E42" s="1">
        <v>133</v>
      </c>
      <c r="F42" s="1">
        <v>200</v>
      </c>
      <c r="G42" s="1" t="s">
        <v>48</v>
      </c>
      <c r="H42" s="1" t="s">
        <v>41</v>
      </c>
    </row>
    <row r="43" spans="1:8" x14ac:dyDescent="0.3">
      <c r="A43" s="1" t="s">
        <v>57</v>
      </c>
      <c r="B43" s="1" t="s">
        <v>13</v>
      </c>
      <c r="C43" s="1" t="s">
        <v>13</v>
      </c>
      <c r="D43" s="1">
        <v>3.9</v>
      </c>
      <c r="E43" s="1">
        <v>28</v>
      </c>
      <c r="F43" s="1">
        <v>300</v>
      </c>
      <c r="G43" s="1" t="s">
        <v>48</v>
      </c>
      <c r="H43" s="1" t="s">
        <v>16</v>
      </c>
    </row>
    <row r="44" spans="1:8" x14ac:dyDescent="0.3">
      <c r="A44" s="1" t="s">
        <v>58</v>
      </c>
      <c r="B44" s="1" t="s">
        <v>9</v>
      </c>
      <c r="C44" s="1" t="s">
        <v>13</v>
      </c>
      <c r="D44" s="1">
        <v>3.9</v>
      </c>
      <c r="E44" s="1">
        <v>286</v>
      </c>
      <c r="F44" s="1">
        <v>500</v>
      </c>
      <c r="G44" s="1" t="s">
        <v>48</v>
      </c>
      <c r="H44" s="1" t="s">
        <v>16</v>
      </c>
    </row>
    <row r="45" spans="1:8" x14ac:dyDescent="0.3">
      <c r="A45" s="1" t="s">
        <v>59</v>
      </c>
      <c r="B45" s="1" t="s">
        <v>9</v>
      </c>
      <c r="C45" s="1" t="s">
        <v>13</v>
      </c>
      <c r="D45" s="1">
        <v>3.9</v>
      </c>
      <c r="E45" s="1">
        <v>540</v>
      </c>
      <c r="F45" s="1">
        <v>800</v>
      </c>
      <c r="G45" s="1" t="s">
        <v>48</v>
      </c>
      <c r="H45" s="1" t="s">
        <v>11</v>
      </c>
    </row>
    <row r="46" spans="1:8" x14ac:dyDescent="0.3">
      <c r="A46" s="1" t="s">
        <v>20</v>
      </c>
      <c r="B46" s="1" t="s">
        <v>9</v>
      </c>
      <c r="C46" s="1" t="s">
        <v>9</v>
      </c>
      <c r="D46" s="1">
        <v>4.5999999999999996</v>
      </c>
      <c r="E46" s="1">
        <v>2556</v>
      </c>
      <c r="F46" s="1">
        <v>600</v>
      </c>
      <c r="G46" s="1" t="s">
        <v>23</v>
      </c>
      <c r="H46" s="1" t="s">
        <v>16</v>
      </c>
    </row>
    <row r="47" spans="1:8" x14ac:dyDescent="0.3">
      <c r="A47" s="1" t="s">
        <v>60</v>
      </c>
      <c r="B47" s="1" t="s">
        <v>13</v>
      </c>
      <c r="C47" s="1" t="s">
        <v>13</v>
      </c>
      <c r="D47" s="1">
        <v>3.8</v>
      </c>
      <c r="E47" s="1">
        <v>36</v>
      </c>
      <c r="F47" s="1">
        <v>400</v>
      </c>
      <c r="G47" s="1" t="s">
        <v>48</v>
      </c>
      <c r="H47" s="1" t="s">
        <v>16</v>
      </c>
    </row>
    <row r="48" spans="1:8" x14ac:dyDescent="0.3">
      <c r="A48" s="1" t="s">
        <v>61</v>
      </c>
      <c r="B48" s="1" t="s">
        <v>9</v>
      </c>
      <c r="C48" s="1" t="s">
        <v>13</v>
      </c>
      <c r="D48" s="1">
        <v>3.6</v>
      </c>
      <c r="E48" s="1">
        <v>244</v>
      </c>
      <c r="F48" s="1">
        <v>300</v>
      </c>
      <c r="G48" s="1" t="s">
        <v>48</v>
      </c>
      <c r="H48" s="1" t="s">
        <v>16</v>
      </c>
    </row>
    <row r="49" spans="1:8" x14ac:dyDescent="0.3">
      <c r="A49" s="1" t="s">
        <v>62</v>
      </c>
      <c r="B49" s="1" t="s">
        <v>9</v>
      </c>
      <c r="C49" s="1" t="s">
        <v>13</v>
      </c>
      <c r="D49" s="1">
        <v>4</v>
      </c>
      <c r="E49" s="1">
        <v>804</v>
      </c>
      <c r="F49" s="1">
        <v>450</v>
      </c>
      <c r="G49" s="1" t="s">
        <v>48</v>
      </c>
      <c r="H49" s="1" t="s">
        <v>16</v>
      </c>
    </row>
    <row r="50" spans="1:8" x14ac:dyDescent="0.3">
      <c r="A50" s="1" t="s">
        <v>63</v>
      </c>
      <c r="B50" s="1" t="s">
        <v>9</v>
      </c>
      <c r="C50" s="1" t="s">
        <v>13</v>
      </c>
      <c r="D50" s="1">
        <v>3.7</v>
      </c>
      <c r="E50" s="1">
        <v>679</v>
      </c>
      <c r="F50" s="1">
        <v>850</v>
      </c>
      <c r="G50" s="1" t="s">
        <v>48</v>
      </c>
      <c r="H50" s="1" t="s">
        <v>11</v>
      </c>
    </row>
    <row r="51" spans="1:8" x14ac:dyDescent="0.3">
      <c r="A51" s="1" t="s">
        <v>64</v>
      </c>
      <c r="B51" s="1" t="s">
        <v>9</v>
      </c>
      <c r="C51" s="1" t="s">
        <v>13</v>
      </c>
      <c r="D51" s="1">
        <v>3.1</v>
      </c>
      <c r="E51" s="1">
        <v>245</v>
      </c>
      <c r="F51" s="1">
        <v>300</v>
      </c>
      <c r="G51" s="1" t="s">
        <v>48</v>
      </c>
      <c r="H51" s="1" t="s">
        <v>16</v>
      </c>
    </row>
    <row r="52" spans="1:8" x14ac:dyDescent="0.3">
      <c r="A52" s="1" t="s">
        <v>65</v>
      </c>
      <c r="B52" s="1" t="s">
        <v>13</v>
      </c>
      <c r="C52" s="1" t="s">
        <v>13</v>
      </c>
      <c r="D52" s="1">
        <v>3.7</v>
      </c>
      <c r="E52" s="1">
        <v>21</v>
      </c>
      <c r="F52" s="1">
        <v>450</v>
      </c>
      <c r="G52" s="1" t="s">
        <v>48</v>
      </c>
      <c r="H52" s="1" t="s">
        <v>16</v>
      </c>
    </row>
    <row r="53" spans="1:8" x14ac:dyDescent="0.3">
      <c r="A53" s="1" t="s">
        <v>66</v>
      </c>
      <c r="B53" s="1" t="s">
        <v>9</v>
      </c>
      <c r="C53" s="1" t="s">
        <v>13</v>
      </c>
      <c r="D53" s="1">
        <v>4.0999999999999996</v>
      </c>
      <c r="E53" s="1">
        <v>28</v>
      </c>
      <c r="F53" s="1">
        <v>150</v>
      </c>
      <c r="G53" s="1" t="s">
        <v>48</v>
      </c>
      <c r="H53" s="1" t="s">
        <v>41</v>
      </c>
    </row>
    <row r="54" spans="1:8" x14ac:dyDescent="0.3">
      <c r="A54" s="1" t="s">
        <v>67</v>
      </c>
      <c r="B54" s="1" t="s">
        <v>13</v>
      </c>
      <c r="C54" s="1" t="s">
        <v>13</v>
      </c>
      <c r="D54" s="1">
        <v>4.3</v>
      </c>
      <c r="E54" s="1">
        <v>345</v>
      </c>
      <c r="F54" s="1">
        <v>400</v>
      </c>
      <c r="G54" s="1" t="s">
        <v>48</v>
      </c>
      <c r="H54" s="1" t="s">
        <v>16</v>
      </c>
    </row>
    <row r="55" spans="1:8" x14ac:dyDescent="0.3">
      <c r="A55" s="1" t="s">
        <v>68</v>
      </c>
      <c r="B55" s="1" t="s">
        <v>9</v>
      </c>
      <c r="C55" s="1" t="s">
        <v>13</v>
      </c>
      <c r="D55" s="1">
        <v>4</v>
      </c>
      <c r="E55" s="1">
        <v>618</v>
      </c>
      <c r="F55" s="1">
        <v>750</v>
      </c>
      <c r="G55" s="1" t="s">
        <v>48</v>
      </c>
      <c r="H55" s="1" t="s">
        <v>11</v>
      </c>
    </row>
    <row r="56" spans="1:8" x14ac:dyDescent="0.3">
      <c r="A56" s="1" t="s">
        <v>69</v>
      </c>
      <c r="B56" s="1" t="s">
        <v>13</v>
      </c>
      <c r="C56" s="1" t="s">
        <v>13</v>
      </c>
      <c r="D56" s="1">
        <v>4</v>
      </c>
      <c r="E56" s="1">
        <v>1047</v>
      </c>
      <c r="F56" s="1">
        <v>450</v>
      </c>
      <c r="G56" s="1" t="s">
        <v>48</v>
      </c>
      <c r="H56" s="1" t="s">
        <v>16</v>
      </c>
    </row>
    <row r="57" spans="1:8" x14ac:dyDescent="0.3">
      <c r="A57" s="1" t="s">
        <v>70</v>
      </c>
      <c r="B57" s="1" t="s">
        <v>9</v>
      </c>
      <c r="C57" s="1" t="s">
        <v>13</v>
      </c>
      <c r="D57" s="1">
        <v>3.9</v>
      </c>
      <c r="E57" s="1">
        <v>627</v>
      </c>
      <c r="F57" s="1">
        <v>450</v>
      </c>
      <c r="G57" s="1" t="s">
        <v>48</v>
      </c>
      <c r="H57" s="1" t="s">
        <v>16</v>
      </c>
    </row>
    <row r="58" spans="1:8" x14ac:dyDescent="0.3">
      <c r="A58" s="1" t="s">
        <v>71</v>
      </c>
      <c r="B58" s="1" t="s">
        <v>9</v>
      </c>
      <c r="C58" s="1" t="s">
        <v>13</v>
      </c>
      <c r="D58" s="1">
        <v>3.8</v>
      </c>
      <c r="E58" s="1">
        <v>104</v>
      </c>
      <c r="F58" s="1">
        <v>300</v>
      </c>
      <c r="G58" s="1" t="s">
        <v>48</v>
      </c>
      <c r="H58" s="1" t="s">
        <v>16</v>
      </c>
    </row>
    <row r="59" spans="1:8" x14ac:dyDescent="0.3">
      <c r="A59" s="1" t="s">
        <v>72</v>
      </c>
      <c r="B59" s="1" t="s">
        <v>9</v>
      </c>
      <c r="C59" s="1" t="s">
        <v>9</v>
      </c>
      <c r="D59" s="1">
        <v>4.2</v>
      </c>
      <c r="E59" s="1">
        <v>354</v>
      </c>
      <c r="F59" s="1">
        <v>800</v>
      </c>
      <c r="G59" s="1" t="s">
        <v>23</v>
      </c>
      <c r="H59" s="1" t="s">
        <v>11</v>
      </c>
    </row>
    <row r="60" spans="1:8" x14ac:dyDescent="0.3">
      <c r="A60" s="1" t="s">
        <v>73</v>
      </c>
      <c r="B60" s="1" t="s">
        <v>13</v>
      </c>
      <c r="C60" s="1" t="s">
        <v>13</v>
      </c>
      <c r="D60" s="1">
        <v>3.6</v>
      </c>
      <c r="E60" s="1">
        <v>55</v>
      </c>
      <c r="F60" s="1">
        <v>200</v>
      </c>
      <c r="G60" s="1" t="s">
        <v>48</v>
      </c>
      <c r="H60" s="1" t="s">
        <v>41</v>
      </c>
    </row>
    <row r="61" spans="1:8" x14ac:dyDescent="0.3">
      <c r="A61" s="1" t="s">
        <v>74</v>
      </c>
      <c r="B61" s="1" t="s">
        <v>9</v>
      </c>
      <c r="C61" s="1" t="s">
        <v>13</v>
      </c>
      <c r="D61" s="1">
        <v>3.7</v>
      </c>
      <c r="E61" s="1">
        <v>17</v>
      </c>
      <c r="F61" s="1">
        <v>400</v>
      </c>
      <c r="G61" s="1" t="s">
        <v>48</v>
      </c>
      <c r="H61" s="1" t="s">
        <v>16</v>
      </c>
    </row>
    <row r="62" spans="1:8" x14ac:dyDescent="0.3">
      <c r="A62" s="1" t="s">
        <v>75</v>
      </c>
      <c r="B62" s="1" t="s">
        <v>13</v>
      </c>
      <c r="C62" s="1" t="s">
        <v>13</v>
      </c>
      <c r="D62" s="1">
        <v>4.2</v>
      </c>
      <c r="E62" s="1">
        <v>244</v>
      </c>
      <c r="F62" s="1">
        <v>800</v>
      </c>
      <c r="G62" s="1" t="s">
        <v>23</v>
      </c>
      <c r="H62" s="1" t="s">
        <v>11</v>
      </c>
    </row>
    <row r="63" spans="1:8" x14ac:dyDescent="0.3">
      <c r="A63" s="1" t="s">
        <v>76</v>
      </c>
      <c r="B63" s="1" t="s">
        <v>9</v>
      </c>
      <c r="C63" s="1" t="s">
        <v>9</v>
      </c>
      <c r="D63" s="1">
        <v>3.6</v>
      </c>
      <c r="E63" s="1">
        <v>163</v>
      </c>
      <c r="F63" s="1">
        <v>800</v>
      </c>
      <c r="G63" s="1" t="s">
        <v>48</v>
      </c>
      <c r="H63" s="1" t="s">
        <v>11</v>
      </c>
    </row>
    <row r="64" spans="1:8" x14ac:dyDescent="0.3">
      <c r="A64" s="1" t="s">
        <v>77</v>
      </c>
      <c r="B64" s="1" t="s">
        <v>9</v>
      </c>
      <c r="C64" s="1" t="s">
        <v>13</v>
      </c>
      <c r="D64" s="1">
        <v>3.8</v>
      </c>
      <c r="E64" s="1">
        <v>58</v>
      </c>
      <c r="F64" s="1">
        <v>150</v>
      </c>
      <c r="G64" s="1" t="s">
        <v>48</v>
      </c>
      <c r="H64" s="1" t="s">
        <v>41</v>
      </c>
    </row>
    <row r="65" spans="1:8" x14ac:dyDescent="0.3">
      <c r="A65" s="1" t="s">
        <v>78</v>
      </c>
      <c r="B65" s="1" t="s">
        <v>13</v>
      </c>
      <c r="C65" s="1" t="s">
        <v>9</v>
      </c>
      <c r="D65" s="1">
        <v>4</v>
      </c>
      <c r="E65" s="1">
        <v>808</v>
      </c>
      <c r="F65" s="1">
        <v>850</v>
      </c>
      <c r="G65" s="1" t="s">
        <v>48</v>
      </c>
      <c r="H65" s="1" t="s">
        <v>11</v>
      </c>
    </row>
    <row r="66" spans="1:8" x14ac:dyDescent="0.3">
      <c r="A66" s="1" t="s">
        <v>79</v>
      </c>
      <c r="B66" s="1" t="s">
        <v>13</v>
      </c>
      <c r="C66" s="1" t="s">
        <v>13</v>
      </c>
      <c r="D66" s="1">
        <v>3.7</v>
      </c>
      <c r="E66" s="1">
        <v>78</v>
      </c>
      <c r="F66" s="1">
        <v>150</v>
      </c>
      <c r="G66" s="1" t="s">
        <v>48</v>
      </c>
      <c r="H66" s="1" t="s">
        <v>41</v>
      </c>
    </row>
    <row r="67" spans="1:8" x14ac:dyDescent="0.3">
      <c r="A67" s="1" t="s">
        <v>80</v>
      </c>
      <c r="B67" s="1" t="s">
        <v>9</v>
      </c>
      <c r="C67" s="1" t="s">
        <v>13</v>
      </c>
      <c r="D67" s="1">
        <v>4.0999999999999996</v>
      </c>
      <c r="E67" s="1">
        <v>1720</v>
      </c>
      <c r="F67" s="1">
        <v>400</v>
      </c>
      <c r="G67" s="1" t="s">
        <v>48</v>
      </c>
      <c r="H67" s="1" t="s">
        <v>16</v>
      </c>
    </row>
    <row r="68" spans="1:8" x14ac:dyDescent="0.3">
      <c r="A68" s="1" t="s">
        <v>81</v>
      </c>
      <c r="B68" s="1" t="s">
        <v>9</v>
      </c>
      <c r="C68" s="1" t="s">
        <v>13</v>
      </c>
      <c r="D68" s="1">
        <v>3.6</v>
      </c>
      <c r="E68" s="1">
        <v>34</v>
      </c>
      <c r="F68" s="1">
        <v>100</v>
      </c>
      <c r="G68" s="1" t="s">
        <v>48</v>
      </c>
      <c r="H68" s="1" t="s">
        <v>41</v>
      </c>
    </row>
    <row r="69" spans="1:8" x14ac:dyDescent="0.3">
      <c r="A69" s="1" t="s">
        <v>82</v>
      </c>
      <c r="B69" s="1" t="s">
        <v>13</v>
      </c>
      <c r="C69" s="1" t="s">
        <v>13</v>
      </c>
      <c r="D69" s="1">
        <v>4.0999999999999996</v>
      </c>
      <c r="E69" s="1">
        <v>868</v>
      </c>
      <c r="F69" s="1">
        <v>700</v>
      </c>
      <c r="G69" s="1" t="s">
        <v>48</v>
      </c>
      <c r="H69" s="1" t="s">
        <v>11</v>
      </c>
    </row>
    <row r="70" spans="1:8" x14ac:dyDescent="0.3">
      <c r="A70" s="1" t="s">
        <v>83</v>
      </c>
      <c r="B70" s="1" t="s">
        <v>13</v>
      </c>
      <c r="C70" s="1" t="s">
        <v>13</v>
      </c>
      <c r="D70" s="1">
        <v>3.8</v>
      </c>
      <c r="E70" s="1">
        <v>39</v>
      </c>
      <c r="F70" s="1">
        <v>300</v>
      </c>
      <c r="G70" s="1" t="s">
        <v>48</v>
      </c>
      <c r="H70" s="1" t="s">
        <v>16</v>
      </c>
    </row>
    <row r="71" spans="1:8" x14ac:dyDescent="0.3">
      <c r="A71" s="1" t="s">
        <v>84</v>
      </c>
      <c r="B71" s="1" t="s">
        <v>9</v>
      </c>
      <c r="C71" s="1" t="s">
        <v>13</v>
      </c>
      <c r="D71" s="1">
        <v>3.2</v>
      </c>
      <c r="E71" s="1">
        <v>71</v>
      </c>
      <c r="F71" s="1">
        <v>600</v>
      </c>
      <c r="G71" s="1" t="s">
        <v>48</v>
      </c>
      <c r="H71" s="1" t="s">
        <v>16</v>
      </c>
    </row>
    <row r="72" spans="1:8" x14ac:dyDescent="0.3">
      <c r="A72" s="1" t="s">
        <v>85</v>
      </c>
      <c r="B72" s="1" t="s">
        <v>9</v>
      </c>
      <c r="C72" s="1" t="s">
        <v>13</v>
      </c>
      <c r="D72" s="1">
        <v>3.6</v>
      </c>
      <c r="E72" s="1">
        <v>6</v>
      </c>
      <c r="F72" s="1">
        <v>500</v>
      </c>
      <c r="G72" s="1" t="s">
        <v>48</v>
      </c>
      <c r="H72" s="1" t="s">
        <v>16</v>
      </c>
    </row>
    <row r="73" spans="1:8" x14ac:dyDescent="0.3">
      <c r="A73" s="1" t="s">
        <v>86</v>
      </c>
      <c r="B73" s="1" t="s">
        <v>13</v>
      </c>
      <c r="C73" s="1" t="s">
        <v>13</v>
      </c>
      <c r="D73" s="1">
        <v>4.0999999999999996</v>
      </c>
      <c r="E73" s="1">
        <v>520</v>
      </c>
      <c r="F73" s="1">
        <v>300</v>
      </c>
      <c r="G73" s="1" t="s">
        <v>48</v>
      </c>
      <c r="H73" s="1" t="s">
        <v>16</v>
      </c>
    </row>
    <row r="74" spans="1:8" x14ac:dyDescent="0.3">
      <c r="A74" s="1" t="s">
        <v>87</v>
      </c>
      <c r="B74" s="1" t="s">
        <v>13</v>
      </c>
      <c r="C74" s="1" t="s">
        <v>13</v>
      </c>
      <c r="D74" s="1">
        <v>4.0999999999999996</v>
      </c>
      <c r="E74" s="1">
        <v>0</v>
      </c>
      <c r="F74" s="1">
        <v>150</v>
      </c>
      <c r="G74" s="1" t="s">
        <v>48</v>
      </c>
      <c r="H74" s="1" t="s">
        <v>41</v>
      </c>
    </row>
    <row r="75" spans="1:8" x14ac:dyDescent="0.3">
      <c r="A75" s="1" t="s">
        <v>88</v>
      </c>
      <c r="B75" s="1" t="s">
        <v>13</v>
      </c>
      <c r="C75" s="1" t="s">
        <v>13</v>
      </c>
      <c r="D75" s="1">
        <v>2.9</v>
      </c>
      <c r="E75" s="1">
        <v>84</v>
      </c>
      <c r="F75" s="1">
        <v>700</v>
      </c>
      <c r="G75" s="1" t="s">
        <v>23</v>
      </c>
      <c r="H75" s="1" t="s">
        <v>11</v>
      </c>
    </row>
    <row r="76" spans="1:8" x14ac:dyDescent="0.3">
      <c r="A76" s="1" t="s">
        <v>89</v>
      </c>
      <c r="B76" s="1" t="s">
        <v>13</v>
      </c>
      <c r="C76" s="1" t="s">
        <v>13</v>
      </c>
      <c r="D76" s="1">
        <v>3.6</v>
      </c>
      <c r="E76" s="1">
        <v>299</v>
      </c>
      <c r="F76" s="1">
        <v>300</v>
      </c>
      <c r="G76" s="1" t="s">
        <v>48</v>
      </c>
      <c r="H76" s="1" t="s">
        <v>16</v>
      </c>
    </row>
    <row r="77" spans="1:8" x14ac:dyDescent="0.3">
      <c r="A77" s="1" t="s">
        <v>90</v>
      </c>
      <c r="B77" s="1" t="s">
        <v>13</v>
      </c>
      <c r="C77" s="1" t="s">
        <v>13</v>
      </c>
      <c r="D77" s="1">
        <v>3.6</v>
      </c>
      <c r="E77" s="1">
        <v>0</v>
      </c>
      <c r="F77" s="1">
        <v>500</v>
      </c>
      <c r="G77" s="1" t="s">
        <v>48</v>
      </c>
      <c r="H77" s="1" t="s">
        <v>16</v>
      </c>
    </row>
    <row r="78" spans="1:8" x14ac:dyDescent="0.3">
      <c r="A78" s="1" t="s">
        <v>91</v>
      </c>
      <c r="B78" s="1" t="s">
        <v>9</v>
      </c>
      <c r="C78" s="1" t="s">
        <v>13</v>
      </c>
      <c r="D78" s="1">
        <v>4.0999999999999996</v>
      </c>
      <c r="E78" s="1">
        <v>558</v>
      </c>
      <c r="F78" s="1">
        <v>150</v>
      </c>
      <c r="G78" s="1" t="s">
        <v>48</v>
      </c>
      <c r="H78" s="1" t="s">
        <v>41</v>
      </c>
    </row>
    <row r="79" spans="1:8" x14ac:dyDescent="0.3">
      <c r="A79" s="1" t="s">
        <v>92</v>
      </c>
      <c r="B79" s="1" t="s">
        <v>9</v>
      </c>
      <c r="C79" s="1" t="s">
        <v>13</v>
      </c>
      <c r="D79" s="1">
        <v>3.6</v>
      </c>
      <c r="E79" s="1">
        <v>28</v>
      </c>
      <c r="F79" s="1">
        <v>300</v>
      </c>
      <c r="G79" s="1" t="s">
        <v>48</v>
      </c>
      <c r="H79" s="1" t="s">
        <v>16</v>
      </c>
    </row>
    <row r="80" spans="1:8" x14ac:dyDescent="0.3">
      <c r="A80" s="1" t="s">
        <v>93</v>
      </c>
      <c r="B80" s="1" t="s">
        <v>13</v>
      </c>
      <c r="C80" s="1" t="s">
        <v>13</v>
      </c>
      <c r="D80" s="1">
        <v>3.7</v>
      </c>
      <c r="E80" s="1">
        <v>22</v>
      </c>
      <c r="F80" s="1">
        <v>500</v>
      </c>
      <c r="G80" s="1" t="s">
        <v>48</v>
      </c>
      <c r="H80" s="1" t="s">
        <v>16</v>
      </c>
    </row>
    <row r="81" spans="1:8" x14ac:dyDescent="0.3">
      <c r="A81" s="1" t="s">
        <v>94</v>
      </c>
      <c r="B81" s="1" t="s">
        <v>13</v>
      </c>
      <c r="C81" s="1" t="s">
        <v>13</v>
      </c>
      <c r="D81" s="1">
        <v>3.8</v>
      </c>
      <c r="E81" s="1">
        <v>39</v>
      </c>
      <c r="F81" s="1">
        <v>350</v>
      </c>
      <c r="G81" s="1" t="s">
        <v>48</v>
      </c>
      <c r="H81" s="1" t="s">
        <v>16</v>
      </c>
    </row>
    <row r="82" spans="1:8" x14ac:dyDescent="0.3">
      <c r="A82" s="1" t="s">
        <v>95</v>
      </c>
      <c r="B82" s="1" t="s">
        <v>9</v>
      </c>
      <c r="C82" s="1" t="s">
        <v>13</v>
      </c>
      <c r="D82" s="1">
        <v>3.8</v>
      </c>
      <c r="E82" s="1">
        <v>153</v>
      </c>
      <c r="F82" s="1">
        <v>500</v>
      </c>
      <c r="G82" s="1" t="s">
        <v>48</v>
      </c>
      <c r="H82" s="1" t="s">
        <v>16</v>
      </c>
    </row>
    <row r="83" spans="1:8" x14ac:dyDescent="0.3">
      <c r="A83" s="1" t="s">
        <v>96</v>
      </c>
      <c r="B83" s="1" t="s">
        <v>9</v>
      </c>
      <c r="C83" s="1" t="s">
        <v>13</v>
      </c>
      <c r="D83" s="1">
        <v>4.2</v>
      </c>
      <c r="E83" s="1">
        <v>146</v>
      </c>
      <c r="F83" s="1">
        <v>400</v>
      </c>
      <c r="G83" s="1" t="s">
        <v>48</v>
      </c>
      <c r="H83" s="1" t="s">
        <v>16</v>
      </c>
    </row>
    <row r="84" spans="1:8" x14ac:dyDescent="0.3">
      <c r="A84" s="1" t="s">
        <v>97</v>
      </c>
      <c r="B84" s="1" t="s">
        <v>13</v>
      </c>
      <c r="C84" s="1" t="s">
        <v>13</v>
      </c>
      <c r="D84" s="1">
        <v>3.5</v>
      </c>
      <c r="E84" s="1">
        <v>14</v>
      </c>
      <c r="F84" s="1">
        <v>200</v>
      </c>
      <c r="G84" s="1" t="s">
        <v>48</v>
      </c>
      <c r="H84" s="1" t="s">
        <v>41</v>
      </c>
    </row>
    <row r="85" spans="1:8" x14ac:dyDescent="0.3">
      <c r="A85" s="1" t="s">
        <v>98</v>
      </c>
      <c r="B85" s="1" t="s">
        <v>13</v>
      </c>
      <c r="C85" s="1" t="s">
        <v>13</v>
      </c>
      <c r="D85" s="1">
        <v>3.8</v>
      </c>
      <c r="E85" s="1">
        <v>42</v>
      </c>
      <c r="F85" s="1">
        <v>700</v>
      </c>
      <c r="G85" s="1" t="s">
        <v>48</v>
      </c>
      <c r="H85" s="1" t="s">
        <v>11</v>
      </c>
    </row>
    <row r="86" spans="1:8" x14ac:dyDescent="0.3">
      <c r="A86" s="1" t="s">
        <v>99</v>
      </c>
      <c r="B86" s="1" t="s">
        <v>13</v>
      </c>
      <c r="C86" s="1" t="s">
        <v>13</v>
      </c>
      <c r="D86" s="1">
        <v>3.8</v>
      </c>
      <c r="E86" s="1">
        <v>0</v>
      </c>
      <c r="F86" s="1">
        <v>100</v>
      </c>
      <c r="G86" s="1" t="s">
        <v>48</v>
      </c>
      <c r="H86" s="1" t="s">
        <v>41</v>
      </c>
    </row>
    <row r="87" spans="1:8" x14ac:dyDescent="0.3">
      <c r="A87" s="1" t="s">
        <v>100</v>
      </c>
      <c r="B87" s="1" t="s">
        <v>13</v>
      </c>
      <c r="C87" s="1" t="s">
        <v>13</v>
      </c>
      <c r="D87" s="1">
        <v>4</v>
      </c>
      <c r="E87" s="1">
        <v>66</v>
      </c>
      <c r="F87" s="1">
        <v>300</v>
      </c>
      <c r="G87" s="1" t="s">
        <v>48</v>
      </c>
      <c r="H87" s="1" t="s">
        <v>16</v>
      </c>
    </row>
    <row r="88" spans="1:8" x14ac:dyDescent="0.3">
      <c r="A88" s="1" t="s">
        <v>101</v>
      </c>
      <c r="B88" s="1" t="s">
        <v>9</v>
      </c>
      <c r="C88" s="1" t="s">
        <v>13</v>
      </c>
      <c r="D88" s="1">
        <v>4.4000000000000004</v>
      </c>
      <c r="E88" s="1">
        <v>4401</v>
      </c>
      <c r="F88" s="1">
        <v>600</v>
      </c>
      <c r="G88" s="1" t="s">
        <v>48</v>
      </c>
      <c r="H88" s="1" t="s">
        <v>16</v>
      </c>
    </row>
    <row r="89" spans="1:8" x14ac:dyDescent="0.3">
      <c r="A89" s="1" t="s">
        <v>102</v>
      </c>
      <c r="B89" s="1" t="s">
        <v>13</v>
      </c>
      <c r="C89" s="1" t="s">
        <v>13</v>
      </c>
      <c r="D89" s="1">
        <v>3.5</v>
      </c>
      <c r="E89" s="1">
        <v>31</v>
      </c>
      <c r="F89" s="1">
        <v>200</v>
      </c>
      <c r="G89" s="1" t="s">
        <v>48</v>
      </c>
      <c r="H89" s="1" t="s">
        <v>41</v>
      </c>
    </row>
    <row r="90" spans="1:8" x14ac:dyDescent="0.3">
      <c r="A90" s="1" t="s">
        <v>103</v>
      </c>
      <c r="B90" s="1" t="s">
        <v>13</v>
      </c>
      <c r="C90" s="1" t="s">
        <v>13</v>
      </c>
      <c r="D90" s="1">
        <v>3.5</v>
      </c>
      <c r="E90" s="1">
        <v>7</v>
      </c>
      <c r="F90" s="1">
        <v>500</v>
      </c>
      <c r="G90" s="1" t="s">
        <v>48</v>
      </c>
      <c r="H90" s="1" t="s">
        <v>16</v>
      </c>
    </row>
    <row r="91" spans="1:8" x14ac:dyDescent="0.3">
      <c r="A91" s="1" t="s">
        <v>104</v>
      </c>
      <c r="B91" s="1" t="s">
        <v>13</v>
      </c>
      <c r="C91" s="1" t="s">
        <v>13</v>
      </c>
      <c r="D91" s="1">
        <v>3.7</v>
      </c>
      <c r="E91" s="1">
        <v>21</v>
      </c>
      <c r="F91" s="1">
        <v>250</v>
      </c>
      <c r="G91" s="1" t="s">
        <v>48</v>
      </c>
      <c r="H91" s="1" t="s">
        <v>41</v>
      </c>
    </row>
    <row r="92" spans="1:8" x14ac:dyDescent="0.3">
      <c r="A92" s="1" t="s">
        <v>105</v>
      </c>
      <c r="B92" s="1" t="s">
        <v>13</v>
      </c>
      <c r="C92" s="1" t="s">
        <v>13</v>
      </c>
      <c r="D92" s="1">
        <v>3.7</v>
      </c>
      <c r="E92" s="1">
        <v>0</v>
      </c>
      <c r="F92" s="1">
        <v>500</v>
      </c>
      <c r="G92" s="1" t="s">
        <v>48</v>
      </c>
      <c r="H92" s="1" t="s">
        <v>16</v>
      </c>
    </row>
    <row r="93" spans="1:8" x14ac:dyDescent="0.3">
      <c r="A93" s="1" t="s">
        <v>106</v>
      </c>
      <c r="B93" s="1" t="s">
        <v>13</v>
      </c>
      <c r="C93" s="1" t="s">
        <v>13</v>
      </c>
      <c r="D93" s="1">
        <v>3.7</v>
      </c>
      <c r="E93" s="1">
        <v>0</v>
      </c>
      <c r="F93" s="1">
        <v>400</v>
      </c>
      <c r="G93" s="1" t="s">
        <v>48</v>
      </c>
      <c r="H93" s="1" t="s">
        <v>16</v>
      </c>
    </row>
    <row r="94" spans="1:8" x14ac:dyDescent="0.3">
      <c r="A94" s="1" t="s">
        <v>107</v>
      </c>
      <c r="B94" s="1" t="s">
        <v>13</v>
      </c>
      <c r="C94" s="1" t="s">
        <v>13</v>
      </c>
      <c r="D94" s="1">
        <v>3.7</v>
      </c>
      <c r="E94" s="1">
        <v>0</v>
      </c>
      <c r="F94" s="1">
        <v>200</v>
      </c>
      <c r="G94" s="1" t="s">
        <v>48</v>
      </c>
      <c r="H94" s="1" t="s">
        <v>41</v>
      </c>
    </row>
    <row r="95" spans="1:8" x14ac:dyDescent="0.3">
      <c r="A95" s="1" t="s">
        <v>108</v>
      </c>
      <c r="B95" s="1" t="s">
        <v>13</v>
      </c>
      <c r="C95" s="1" t="s">
        <v>13</v>
      </c>
      <c r="D95" s="1">
        <v>3.2</v>
      </c>
      <c r="E95" s="1">
        <v>9</v>
      </c>
      <c r="F95" s="1">
        <v>300</v>
      </c>
      <c r="G95" s="1" t="s">
        <v>48</v>
      </c>
      <c r="H95" s="1" t="s">
        <v>16</v>
      </c>
    </row>
    <row r="96" spans="1:8" x14ac:dyDescent="0.3">
      <c r="A96" s="1" t="s">
        <v>109</v>
      </c>
      <c r="B96" s="1" t="s">
        <v>13</v>
      </c>
      <c r="C96" s="1" t="s">
        <v>13</v>
      </c>
      <c r="D96" s="1">
        <v>2.6</v>
      </c>
      <c r="E96" s="1">
        <v>283</v>
      </c>
      <c r="F96" s="1">
        <v>600</v>
      </c>
      <c r="G96" s="1" t="s">
        <v>48</v>
      </c>
      <c r="H96" s="1" t="s">
        <v>16</v>
      </c>
    </row>
    <row r="97" spans="1:8" x14ac:dyDescent="0.3">
      <c r="A97" s="1" t="s">
        <v>110</v>
      </c>
      <c r="B97" s="1" t="s">
        <v>13</v>
      </c>
      <c r="C97" s="1" t="s">
        <v>13</v>
      </c>
      <c r="D97" s="1">
        <v>3.3</v>
      </c>
      <c r="E97" s="1">
        <v>62</v>
      </c>
      <c r="F97" s="1">
        <v>800</v>
      </c>
      <c r="G97" s="1" t="s">
        <v>48</v>
      </c>
      <c r="H97" s="1" t="s">
        <v>11</v>
      </c>
    </row>
    <row r="98" spans="1:8" x14ac:dyDescent="0.3">
      <c r="A98" s="1" t="s">
        <v>111</v>
      </c>
      <c r="B98" s="1" t="s">
        <v>13</v>
      </c>
      <c r="C98" s="1" t="s">
        <v>13</v>
      </c>
      <c r="D98" s="1">
        <v>3.8</v>
      </c>
      <c r="E98" s="1">
        <v>64</v>
      </c>
      <c r="F98" s="1">
        <v>250</v>
      </c>
      <c r="G98" s="1" t="s">
        <v>48</v>
      </c>
      <c r="H98" s="1" t="s">
        <v>41</v>
      </c>
    </row>
    <row r="99" spans="1:8" x14ac:dyDescent="0.3">
      <c r="A99" s="1" t="s">
        <v>112</v>
      </c>
      <c r="B99" s="1" t="s">
        <v>13</v>
      </c>
      <c r="C99" s="1" t="s">
        <v>13</v>
      </c>
      <c r="D99" s="1">
        <v>3.7</v>
      </c>
      <c r="E99" s="1">
        <v>39</v>
      </c>
      <c r="F99" s="1">
        <v>950</v>
      </c>
      <c r="G99" s="1" t="s">
        <v>48</v>
      </c>
      <c r="H99" s="1" t="s">
        <v>11</v>
      </c>
    </row>
    <row r="100" spans="1:8" x14ac:dyDescent="0.3">
      <c r="A100" s="1" t="s">
        <v>113</v>
      </c>
      <c r="B100" s="1" t="s">
        <v>13</v>
      </c>
      <c r="C100" s="1" t="s">
        <v>13</v>
      </c>
      <c r="D100" s="1">
        <v>3.7</v>
      </c>
      <c r="E100" s="1">
        <v>65</v>
      </c>
      <c r="F100" s="1">
        <v>300</v>
      </c>
      <c r="G100" s="1" t="s">
        <v>48</v>
      </c>
      <c r="H100" s="1" t="s">
        <v>16</v>
      </c>
    </row>
    <row r="101" spans="1:8" x14ac:dyDescent="0.3">
      <c r="A101" s="1" t="s">
        <v>114</v>
      </c>
      <c r="B101" s="1" t="s">
        <v>9</v>
      </c>
      <c r="C101" s="1" t="s">
        <v>13</v>
      </c>
      <c r="D101" s="1">
        <v>3.8</v>
      </c>
      <c r="E101" s="1">
        <v>71</v>
      </c>
      <c r="F101" s="1">
        <v>400</v>
      </c>
      <c r="G101" s="1" t="s">
        <v>48</v>
      </c>
      <c r="H101" s="1" t="s">
        <v>16</v>
      </c>
    </row>
    <row r="102" spans="1:8" x14ac:dyDescent="0.3">
      <c r="A102" s="1" t="s">
        <v>115</v>
      </c>
      <c r="B102" s="1" t="s">
        <v>13</v>
      </c>
      <c r="C102" s="1" t="s">
        <v>13</v>
      </c>
      <c r="D102" s="1">
        <v>3.5</v>
      </c>
      <c r="E102" s="1">
        <v>52</v>
      </c>
      <c r="F102" s="1">
        <v>300</v>
      </c>
      <c r="G102" s="1" t="s">
        <v>48</v>
      </c>
      <c r="H102" s="1" t="s">
        <v>16</v>
      </c>
    </row>
    <row r="103" spans="1:8" x14ac:dyDescent="0.3">
      <c r="A103" s="1" t="s">
        <v>116</v>
      </c>
      <c r="B103" s="1" t="s">
        <v>13</v>
      </c>
      <c r="C103" s="1" t="s">
        <v>13</v>
      </c>
      <c r="D103" s="1">
        <v>3.7</v>
      </c>
      <c r="E103" s="1">
        <v>130</v>
      </c>
      <c r="F103" s="1">
        <v>200</v>
      </c>
      <c r="G103" s="1" t="s">
        <v>48</v>
      </c>
      <c r="H103" s="1" t="s">
        <v>41</v>
      </c>
    </row>
    <row r="104" spans="1:8" x14ac:dyDescent="0.3">
      <c r="A104" s="1" t="s">
        <v>117</v>
      </c>
      <c r="B104" s="1" t="s">
        <v>13</v>
      </c>
      <c r="C104" s="1" t="s">
        <v>13</v>
      </c>
      <c r="D104" s="1">
        <v>3.5</v>
      </c>
      <c r="E104" s="1">
        <v>10</v>
      </c>
      <c r="F104" s="1">
        <v>300</v>
      </c>
      <c r="G104" s="1" t="s">
        <v>48</v>
      </c>
      <c r="H104" s="1" t="s">
        <v>16</v>
      </c>
    </row>
    <row r="105" spans="1:8" x14ac:dyDescent="0.3">
      <c r="A105" s="1" t="s">
        <v>118</v>
      </c>
      <c r="B105" s="1" t="s">
        <v>13</v>
      </c>
      <c r="C105" s="1" t="s">
        <v>13</v>
      </c>
      <c r="D105" s="1">
        <v>3.8</v>
      </c>
      <c r="E105" s="1">
        <v>45</v>
      </c>
      <c r="F105" s="1">
        <v>400</v>
      </c>
      <c r="G105" s="1" t="s">
        <v>48</v>
      </c>
      <c r="H105" s="1" t="s">
        <v>16</v>
      </c>
    </row>
    <row r="106" spans="1:8" x14ac:dyDescent="0.3">
      <c r="A106" s="1" t="s">
        <v>39</v>
      </c>
      <c r="B106" s="1" t="s">
        <v>13</v>
      </c>
      <c r="C106" s="1" t="s">
        <v>13</v>
      </c>
      <c r="D106" s="1">
        <v>3.2</v>
      </c>
      <c r="E106" s="1">
        <v>11</v>
      </c>
      <c r="F106" s="1">
        <v>600</v>
      </c>
      <c r="G106" s="1" t="s">
        <v>48</v>
      </c>
      <c r="H106" s="1" t="s">
        <v>16</v>
      </c>
    </row>
    <row r="107" spans="1:8" x14ac:dyDescent="0.3">
      <c r="A107" s="1" t="s">
        <v>119</v>
      </c>
      <c r="B107" s="1" t="s">
        <v>13</v>
      </c>
      <c r="C107" s="1" t="s">
        <v>13</v>
      </c>
      <c r="D107" s="1">
        <v>3.5</v>
      </c>
      <c r="E107" s="1">
        <v>13</v>
      </c>
      <c r="F107" s="1">
        <v>300</v>
      </c>
      <c r="G107" s="1" t="s">
        <v>48</v>
      </c>
      <c r="H107" s="1" t="s">
        <v>16</v>
      </c>
    </row>
    <row r="108" spans="1:8" x14ac:dyDescent="0.3">
      <c r="A108" s="1" t="s">
        <v>120</v>
      </c>
      <c r="B108" s="1" t="s">
        <v>13</v>
      </c>
      <c r="C108" s="1" t="s">
        <v>13</v>
      </c>
      <c r="D108" s="1">
        <v>3.4</v>
      </c>
      <c r="E108" s="1">
        <v>8</v>
      </c>
      <c r="F108" s="1">
        <v>300</v>
      </c>
      <c r="G108" s="1" t="s">
        <v>48</v>
      </c>
      <c r="H108" s="1" t="s">
        <v>16</v>
      </c>
    </row>
    <row r="109" spans="1:8" x14ac:dyDescent="0.3">
      <c r="A109" s="1" t="s">
        <v>121</v>
      </c>
      <c r="B109" s="1" t="s">
        <v>13</v>
      </c>
      <c r="C109" s="1" t="s">
        <v>13</v>
      </c>
      <c r="D109" s="1">
        <v>3.4</v>
      </c>
      <c r="E109" s="1">
        <v>0</v>
      </c>
      <c r="F109" s="1">
        <v>250</v>
      </c>
      <c r="G109" s="1" t="s">
        <v>48</v>
      </c>
      <c r="H109" s="1" t="s">
        <v>41</v>
      </c>
    </row>
    <row r="110" spans="1:8" x14ac:dyDescent="0.3">
      <c r="A110" s="1" t="s">
        <v>122</v>
      </c>
      <c r="B110" s="1" t="s">
        <v>13</v>
      </c>
      <c r="C110" s="1" t="s">
        <v>13</v>
      </c>
      <c r="D110" s="1">
        <v>3.2</v>
      </c>
      <c r="E110" s="1">
        <v>9</v>
      </c>
      <c r="F110" s="1">
        <v>300</v>
      </c>
      <c r="G110" s="1" t="s">
        <v>48</v>
      </c>
      <c r="H110" s="1" t="s">
        <v>16</v>
      </c>
    </row>
    <row r="111" spans="1:8" x14ac:dyDescent="0.3">
      <c r="A111" s="1" t="s">
        <v>123</v>
      </c>
      <c r="B111" s="1" t="s">
        <v>13</v>
      </c>
      <c r="C111" s="1" t="s">
        <v>13</v>
      </c>
      <c r="D111" s="1">
        <v>3.2</v>
      </c>
      <c r="E111" s="1">
        <v>4</v>
      </c>
      <c r="F111" s="1">
        <v>300</v>
      </c>
      <c r="G111" s="1" t="s">
        <v>48</v>
      </c>
      <c r="H111" s="1" t="s">
        <v>16</v>
      </c>
    </row>
    <row r="112" spans="1:8" x14ac:dyDescent="0.3">
      <c r="A112" s="1" t="s">
        <v>124</v>
      </c>
      <c r="B112" s="1" t="s">
        <v>13</v>
      </c>
      <c r="C112" s="1" t="s">
        <v>13</v>
      </c>
      <c r="D112" s="1">
        <v>3.2</v>
      </c>
      <c r="E112" s="1">
        <v>0</v>
      </c>
      <c r="F112" s="1">
        <v>200</v>
      </c>
      <c r="G112" s="1" t="s">
        <v>48</v>
      </c>
      <c r="H112" s="1" t="s">
        <v>41</v>
      </c>
    </row>
    <row r="113" spans="1:8" x14ac:dyDescent="0.3">
      <c r="A113" s="1" t="s">
        <v>125</v>
      </c>
      <c r="B113" s="1" t="s">
        <v>13</v>
      </c>
      <c r="C113" s="1" t="s">
        <v>13</v>
      </c>
      <c r="D113" s="1">
        <v>3.1</v>
      </c>
      <c r="E113" s="1">
        <v>29</v>
      </c>
      <c r="F113" s="1">
        <v>150</v>
      </c>
      <c r="G113" s="1" t="s">
        <v>48</v>
      </c>
      <c r="H113" s="1" t="s">
        <v>41</v>
      </c>
    </row>
    <row r="114" spans="1:8" x14ac:dyDescent="0.3">
      <c r="A114" s="1" t="s">
        <v>126</v>
      </c>
      <c r="B114" s="1" t="s">
        <v>13</v>
      </c>
      <c r="C114" s="1" t="s">
        <v>13</v>
      </c>
      <c r="D114" s="1">
        <v>3.4</v>
      </c>
      <c r="E114" s="1">
        <v>8</v>
      </c>
      <c r="F114" s="1">
        <v>400</v>
      </c>
      <c r="G114" s="1" t="s">
        <v>48</v>
      </c>
      <c r="H114" s="1" t="s">
        <v>16</v>
      </c>
    </row>
    <row r="115" spans="1:8" x14ac:dyDescent="0.3">
      <c r="A115" s="1" t="s">
        <v>127</v>
      </c>
      <c r="B115" s="1" t="s">
        <v>13</v>
      </c>
      <c r="C115" s="1" t="s">
        <v>13</v>
      </c>
      <c r="D115" s="1">
        <v>3.4</v>
      </c>
      <c r="E115" s="1">
        <v>0</v>
      </c>
      <c r="F115" s="1">
        <v>150</v>
      </c>
      <c r="G115" s="1" t="s">
        <v>48</v>
      </c>
      <c r="H115" s="1" t="s">
        <v>41</v>
      </c>
    </row>
    <row r="116" spans="1:8" x14ac:dyDescent="0.3">
      <c r="A116" s="1" t="s">
        <v>128</v>
      </c>
      <c r="B116" s="1" t="s">
        <v>13</v>
      </c>
      <c r="C116" s="1" t="s">
        <v>13</v>
      </c>
      <c r="D116" s="1">
        <v>3.4</v>
      </c>
      <c r="E116" s="1">
        <v>0</v>
      </c>
      <c r="F116" s="1">
        <v>300</v>
      </c>
      <c r="G116" s="1" t="s">
        <v>48</v>
      </c>
      <c r="H116" s="1" t="s">
        <v>16</v>
      </c>
    </row>
    <row r="117" spans="1:8" x14ac:dyDescent="0.3">
      <c r="A117" s="1" t="s">
        <v>129</v>
      </c>
      <c r="B117" s="1" t="s">
        <v>13</v>
      </c>
      <c r="C117" s="1" t="s">
        <v>13</v>
      </c>
      <c r="D117" s="1">
        <v>3.4</v>
      </c>
      <c r="E117" s="1">
        <v>0</v>
      </c>
      <c r="F117" s="1">
        <v>200</v>
      </c>
      <c r="G117" s="1" t="s">
        <v>48</v>
      </c>
      <c r="H117" s="1" t="s">
        <v>41</v>
      </c>
    </row>
    <row r="118" spans="1:8" x14ac:dyDescent="0.3">
      <c r="A118" s="1" t="s">
        <v>130</v>
      </c>
      <c r="B118" s="1" t="s">
        <v>13</v>
      </c>
      <c r="C118" s="1" t="s">
        <v>13</v>
      </c>
      <c r="D118" s="1">
        <v>3.4</v>
      </c>
      <c r="E118" s="1">
        <v>0</v>
      </c>
      <c r="F118" s="1">
        <v>150</v>
      </c>
      <c r="G118" s="1" t="s">
        <v>48</v>
      </c>
      <c r="H118" s="1" t="s">
        <v>41</v>
      </c>
    </row>
    <row r="119" spans="1:8" x14ac:dyDescent="0.3">
      <c r="A119" s="1" t="s">
        <v>131</v>
      </c>
      <c r="B119" s="1" t="s">
        <v>13</v>
      </c>
      <c r="C119" s="1" t="s">
        <v>13</v>
      </c>
      <c r="D119" s="1">
        <v>3.4</v>
      </c>
      <c r="E119" s="1">
        <v>0</v>
      </c>
      <c r="F119" s="1">
        <v>150</v>
      </c>
      <c r="G119" s="1" t="s">
        <v>48</v>
      </c>
      <c r="H119" s="1" t="s">
        <v>41</v>
      </c>
    </row>
    <row r="120" spans="1:8" x14ac:dyDescent="0.3">
      <c r="A120" s="1" t="s">
        <v>132</v>
      </c>
      <c r="B120" s="1" t="s">
        <v>13</v>
      </c>
      <c r="C120" s="1" t="s">
        <v>13</v>
      </c>
      <c r="D120" s="1">
        <v>3.4</v>
      </c>
      <c r="E120" s="1">
        <v>0</v>
      </c>
      <c r="F120" s="1">
        <v>250</v>
      </c>
      <c r="G120" s="1" t="s">
        <v>48</v>
      </c>
      <c r="H120" s="1" t="s">
        <v>41</v>
      </c>
    </row>
    <row r="121" spans="1:8" x14ac:dyDescent="0.3">
      <c r="A121" s="1" t="s">
        <v>133</v>
      </c>
      <c r="B121" s="1" t="s">
        <v>13</v>
      </c>
      <c r="C121" s="1" t="s">
        <v>13</v>
      </c>
      <c r="D121" s="1">
        <v>3.1</v>
      </c>
      <c r="E121" s="1">
        <v>30</v>
      </c>
      <c r="F121" s="1">
        <v>900</v>
      </c>
      <c r="G121" s="1" t="s">
        <v>48</v>
      </c>
      <c r="H121" s="1" t="s">
        <v>11</v>
      </c>
    </row>
    <row r="122" spans="1:8" x14ac:dyDescent="0.3">
      <c r="A122" s="1" t="s">
        <v>134</v>
      </c>
      <c r="B122" s="1" t="s">
        <v>9</v>
      </c>
      <c r="C122" s="1" t="s">
        <v>13</v>
      </c>
      <c r="D122" s="1">
        <v>4.0999999999999996</v>
      </c>
      <c r="E122" s="1">
        <v>201</v>
      </c>
      <c r="F122" s="1">
        <v>300</v>
      </c>
      <c r="G122" s="1" t="s">
        <v>48</v>
      </c>
      <c r="H122" s="1" t="s">
        <v>16</v>
      </c>
    </row>
    <row r="123" spans="1:8" x14ac:dyDescent="0.3">
      <c r="A123" s="1" t="s">
        <v>135</v>
      </c>
      <c r="B123" s="1" t="s">
        <v>13</v>
      </c>
      <c r="C123" s="1" t="s">
        <v>13</v>
      </c>
      <c r="D123" s="1">
        <v>3.3</v>
      </c>
      <c r="E123" s="1">
        <v>7</v>
      </c>
      <c r="F123" s="1">
        <v>200</v>
      </c>
      <c r="G123" s="1" t="s">
        <v>48</v>
      </c>
      <c r="H123" s="1" t="s">
        <v>41</v>
      </c>
    </row>
    <row r="124" spans="1:8" x14ac:dyDescent="0.3">
      <c r="A124" s="1" t="s">
        <v>136</v>
      </c>
      <c r="B124" s="1" t="s">
        <v>13</v>
      </c>
      <c r="C124" s="1" t="s">
        <v>13</v>
      </c>
      <c r="D124" s="1">
        <v>3.1</v>
      </c>
      <c r="E124" s="1">
        <v>6</v>
      </c>
      <c r="F124" s="1">
        <v>100</v>
      </c>
      <c r="G124" s="1" t="s">
        <v>48</v>
      </c>
      <c r="H124" s="1" t="s">
        <v>41</v>
      </c>
    </row>
    <row r="125" spans="1:8" x14ac:dyDescent="0.3">
      <c r="A125" s="1" t="s">
        <v>137</v>
      </c>
      <c r="B125" s="1" t="s">
        <v>13</v>
      </c>
      <c r="C125" s="1" t="s">
        <v>13</v>
      </c>
      <c r="D125" s="1">
        <v>3.3</v>
      </c>
      <c r="E125" s="1">
        <v>17</v>
      </c>
      <c r="F125" s="1">
        <v>200</v>
      </c>
      <c r="G125" s="1" t="s">
        <v>48</v>
      </c>
      <c r="H125" s="1" t="s">
        <v>41</v>
      </c>
    </row>
    <row r="126" spans="1:8" x14ac:dyDescent="0.3">
      <c r="A126" s="1" t="s">
        <v>138</v>
      </c>
      <c r="B126" s="1" t="s">
        <v>13</v>
      </c>
      <c r="C126" s="1" t="s">
        <v>13</v>
      </c>
      <c r="D126" s="1">
        <v>2.9</v>
      </c>
      <c r="E126" s="1">
        <v>25</v>
      </c>
      <c r="F126" s="1">
        <v>200</v>
      </c>
      <c r="G126" s="1" t="s">
        <v>48</v>
      </c>
      <c r="H126" s="1" t="s">
        <v>41</v>
      </c>
    </row>
    <row r="127" spans="1:8" x14ac:dyDescent="0.3">
      <c r="A127" s="1" t="s">
        <v>139</v>
      </c>
      <c r="B127" s="1" t="s">
        <v>13</v>
      </c>
      <c r="C127" s="1" t="s">
        <v>13</v>
      </c>
      <c r="D127" s="1">
        <v>2.9</v>
      </c>
      <c r="E127" s="1">
        <v>0</v>
      </c>
      <c r="F127" s="1">
        <v>400</v>
      </c>
      <c r="G127" s="1" t="s">
        <v>48</v>
      </c>
      <c r="H127" s="1" t="s">
        <v>16</v>
      </c>
    </row>
    <row r="128" spans="1:8" x14ac:dyDescent="0.3">
      <c r="A128" s="1" t="s">
        <v>140</v>
      </c>
      <c r="B128" s="1" t="s">
        <v>13</v>
      </c>
      <c r="C128" s="1" t="s">
        <v>13</v>
      </c>
      <c r="D128" s="1">
        <v>2.9</v>
      </c>
      <c r="E128" s="1">
        <v>0</v>
      </c>
      <c r="F128" s="1">
        <v>350</v>
      </c>
      <c r="G128" s="1" t="s">
        <v>48</v>
      </c>
      <c r="H128" s="1" t="s">
        <v>16</v>
      </c>
    </row>
    <row r="129" spans="1:8" x14ac:dyDescent="0.3">
      <c r="A129" s="1" t="s">
        <v>141</v>
      </c>
      <c r="B129" s="1" t="s">
        <v>13</v>
      </c>
      <c r="C129" s="1" t="s">
        <v>13</v>
      </c>
      <c r="D129" s="1">
        <v>3.3</v>
      </c>
      <c r="E129" s="1">
        <v>8</v>
      </c>
      <c r="F129" s="1">
        <v>100</v>
      </c>
      <c r="G129" s="1" t="s">
        <v>48</v>
      </c>
      <c r="H129" s="1" t="s">
        <v>41</v>
      </c>
    </row>
    <row r="130" spans="1:8" x14ac:dyDescent="0.3">
      <c r="A130" s="1" t="s">
        <v>142</v>
      </c>
      <c r="B130" s="1" t="s">
        <v>13</v>
      </c>
      <c r="C130" s="1" t="s">
        <v>13</v>
      </c>
      <c r="D130" s="1">
        <v>3.3</v>
      </c>
      <c r="E130" s="1">
        <v>0</v>
      </c>
      <c r="F130" s="1">
        <v>150</v>
      </c>
      <c r="G130" s="1" t="s">
        <v>48</v>
      </c>
      <c r="H130" s="1" t="s">
        <v>41</v>
      </c>
    </row>
    <row r="131" spans="1:8" x14ac:dyDescent="0.3">
      <c r="A131" s="1" t="s">
        <v>143</v>
      </c>
      <c r="B131" s="1" t="s">
        <v>13</v>
      </c>
      <c r="C131" s="1" t="s">
        <v>13</v>
      </c>
      <c r="D131" s="1">
        <v>3.4</v>
      </c>
      <c r="E131" s="1">
        <v>0</v>
      </c>
      <c r="F131" s="1">
        <v>150</v>
      </c>
      <c r="G131" s="1" t="s">
        <v>48</v>
      </c>
      <c r="H131" s="1" t="s">
        <v>41</v>
      </c>
    </row>
    <row r="132" spans="1:8" x14ac:dyDescent="0.3">
      <c r="A132" s="1" t="s">
        <v>144</v>
      </c>
      <c r="B132" s="1" t="s">
        <v>13</v>
      </c>
      <c r="C132" s="1" t="s">
        <v>13</v>
      </c>
      <c r="D132" s="1">
        <v>3.4</v>
      </c>
      <c r="E132" s="1">
        <v>0</v>
      </c>
      <c r="F132" s="1">
        <v>200</v>
      </c>
      <c r="G132" s="1" t="s">
        <v>48</v>
      </c>
      <c r="H132" s="1" t="s">
        <v>41</v>
      </c>
    </row>
    <row r="133" spans="1:8" x14ac:dyDescent="0.3">
      <c r="A133" s="1" t="s">
        <v>145</v>
      </c>
      <c r="B133" s="1" t="s">
        <v>13</v>
      </c>
      <c r="C133" s="1" t="s">
        <v>13</v>
      </c>
      <c r="D133" s="1">
        <v>3.4</v>
      </c>
      <c r="E133" s="1">
        <v>0</v>
      </c>
      <c r="F133" s="1">
        <v>100</v>
      </c>
      <c r="G133" s="1" t="s">
        <v>48</v>
      </c>
      <c r="H133" s="1" t="s">
        <v>41</v>
      </c>
    </row>
    <row r="134" spans="1:8" x14ac:dyDescent="0.3">
      <c r="A134" s="1" t="s">
        <v>146</v>
      </c>
      <c r="B134" s="1" t="s">
        <v>13</v>
      </c>
      <c r="C134" s="1" t="s">
        <v>13</v>
      </c>
      <c r="D134" s="1">
        <v>3.1</v>
      </c>
      <c r="E134" s="1">
        <v>0</v>
      </c>
      <c r="F134" s="1">
        <v>400</v>
      </c>
      <c r="G134" s="1" t="s">
        <v>48</v>
      </c>
      <c r="H134" s="1" t="s">
        <v>16</v>
      </c>
    </row>
    <row r="135" spans="1:8" x14ac:dyDescent="0.3">
      <c r="A135" s="1" t="s">
        <v>147</v>
      </c>
      <c r="B135" s="1" t="s">
        <v>13</v>
      </c>
      <c r="C135" s="1" t="s">
        <v>13</v>
      </c>
      <c r="D135" s="1">
        <v>4.0999999999999996</v>
      </c>
      <c r="E135" s="1">
        <v>0</v>
      </c>
      <c r="F135" s="1">
        <v>200</v>
      </c>
      <c r="G135" s="1" t="s">
        <v>48</v>
      </c>
      <c r="H135" s="1" t="s">
        <v>41</v>
      </c>
    </row>
    <row r="136" spans="1:8" x14ac:dyDescent="0.3">
      <c r="A136" s="1" t="s">
        <v>148</v>
      </c>
      <c r="B136" s="1" t="s">
        <v>13</v>
      </c>
      <c r="C136" s="1" t="s">
        <v>13</v>
      </c>
      <c r="D136" s="1">
        <v>3.3</v>
      </c>
      <c r="E136" s="1">
        <v>0</v>
      </c>
      <c r="F136" s="1">
        <v>150</v>
      </c>
      <c r="G136" s="1" t="s">
        <v>48</v>
      </c>
      <c r="H136" s="1" t="s">
        <v>41</v>
      </c>
    </row>
    <row r="137" spans="1:8" x14ac:dyDescent="0.3">
      <c r="A137" s="1" t="s">
        <v>149</v>
      </c>
      <c r="B137" s="1" t="s">
        <v>13</v>
      </c>
      <c r="C137" s="1" t="s">
        <v>13</v>
      </c>
      <c r="D137" s="1">
        <v>3.1</v>
      </c>
      <c r="E137" s="1">
        <v>0</v>
      </c>
      <c r="F137" s="1">
        <v>400</v>
      </c>
      <c r="G137" s="1" t="s">
        <v>48</v>
      </c>
      <c r="H137" s="1" t="s">
        <v>16</v>
      </c>
    </row>
    <row r="138" spans="1:8" x14ac:dyDescent="0.3">
      <c r="A138" s="1" t="s">
        <v>150</v>
      </c>
      <c r="B138" s="1" t="s">
        <v>13</v>
      </c>
      <c r="C138" s="1" t="s">
        <v>13</v>
      </c>
      <c r="D138" s="1">
        <v>3.3</v>
      </c>
      <c r="E138" s="1">
        <v>0</v>
      </c>
      <c r="F138" s="1">
        <v>150</v>
      </c>
      <c r="G138" s="1" t="s">
        <v>48</v>
      </c>
      <c r="H138" s="1" t="s">
        <v>41</v>
      </c>
    </row>
    <row r="139" spans="1:8" x14ac:dyDescent="0.3">
      <c r="A139" s="1" t="s">
        <v>151</v>
      </c>
      <c r="B139" s="1" t="s">
        <v>13</v>
      </c>
      <c r="C139" s="1" t="s">
        <v>13</v>
      </c>
      <c r="D139" s="1">
        <v>2.9</v>
      </c>
      <c r="E139" s="1">
        <v>0</v>
      </c>
      <c r="F139" s="1">
        <v>250</v>
      </c>
      <c r="G139" s="1" t="s">
        <v>48</v>
      </c>
      <c r="H139" s="1" t="s">
        <v>41</v>
      </c>
    </row>
    <row r="140" spans="1:8" x14ac:dyDescent="0.3">
      <c r="A140" s="1" t="s">
        <v>152</v>
      </c>
      <c r="B140" s="1" t="s">
        <v>13</v>
      </c>
      <c r="C140" s="1" t="s">
        <v>13</v>
      </c>
      <c r="D140" s="1">
        <v>2.9</v>
      </c>
      <c r="E140" s="1">
        <v>0</v>
      </c>
      <c r="F140" s="1">
        <v>250</v>
      </c>
      <c r="G140" s="1" t="s">
        <v>48</v>
      </c>
      <c r="H140" s="1" t="s">
        <v>41</v>
      </c>
    </row>
    <row r="141" spans="1:8" x14ac:dyDescent="0.3">
      <c r="A141" s="1" t="s">
        <v>153</v>
      </c>
      <c r="B141" s="1" t="s">
        <v>13</v>
      </c>
      <c r="C141" s="1" t="s">
        <v>13</v>
      </c>
      <c r="D141" s="1">
        <v>2.9</v>
      </c>
      <c r="E141" s="1">
        <v>0</v>
      </c>
      <c r="F141" s="1">
        <v>150</v>
      </c>
      <c r="G141" s="1" t="s">
        <v>48</v>
      </c>
      <c r="H141" s="1" t="s">
        <v>41</v>
      </c>
    </row>
    <row r="142" spans="1:8" x14ac:dyDescent="0.3">
      <c r="A142" s="1" t="s">
        <v>154</v>
      </c>
      <c r="B142" s="1" t="s">
        <v>13</v>
      </c>
      <c r="C142" s="1" t="s">
        <v>13</v>
      </c>
      <c r="D142" s="1">
        <v>3.3</v>
      </c>
      <c r="E142" s="1">
        <v>0</v>
      </c>
      <c r="F142" s="1">
        <v>200</v>
      </c>
      <c r="G142" s="1" t="s">
        <v>48</v>
      </c>
      <c r="H142" s="1" t="s">
        <v>41</v>
      </c>
    </row>
    <row r="143" spans="1:8" x14ac:dyDescent="0.3">
      <c r="A143" s="1" t="s">
        <v>155</v>
      </c>
      <c r="B143" s="1" t="s">
        <v>13</v>
      </c>
      <c r="C143" s="1" t="s">
        <v>13</v>
      </c>
      <c r="D143" s="1">
        <v>3.3</v>
      </c>
      <c r="E143" s="1">
        <v>0</v>
      </c>
      <c r="F143" s="1">
        <v>350</v>
      </c>
      <c r="G143" s="1" t="s">
        <v>48</v>
      </c>
      <c r="H143" s="1" t="s">
        <v>16</v>
      </c>
    </row>
    <row r="144" spans="1:8" x14ac:dyDescent="0.3">
      <c r="A144" s="1" t="s">
        <v>156</v>
      </c>
      <c r="B144" s="1" t="s">
        <v>13</v>
      </c>
      <c r="C144" s="1" t="s">
        <v>13</v>
      </c>
      <c r="D144" s="1">
        <v>3.3</v>
      </c>
      <c r="E144" s="1">
        <v>0</v>
      </c>
      <c r="F144" s="1">
        <v>300</v>
      </c>
      <c r="G144" s="1" t="s">
        <v>48</v>
      </c>
      <c r="H144" s="1" t="s">
        <v>16</v>
      </c>
    </row>
    <row r="145" spans="1:8" x14ac:dyDescent="0.3">
      <c r="A145" s="1" t="s">
        <v>157</v>
      </c>
      <c r="B145" s="1" t="s">
        <v>13</v>
      </c>
      <c r="C145" s="1" t="s">
        <v>13</v>
      </c>
      <c r="D145" s="1">
        <v>3.3</v>
      </c>
      <c r="E145" s="1">
        <v>0</v>
      </c>
      <c r="F145" s="1">
        <v>100</v>
      </c>
      <c r="G145" s="1" t="s">
        <v>48</v>
      </c>
      <c r="H145" s="1" t="s">
        <v>41</v>
      </c>
    </row>
    <row r="146" spans="1:8" x14ac:dyDescent="0.3">
      <c r="A146" s="1" t="s">
        <v>158</v>
      </c>
      <c r="B146" s="1" t="s">
        <v>13</v>
      </c>
      <c r="C146" s="1" t="s">
        <v>13</v>
      </c>
      <c r="D146" s="1">
        <v>3.3</v>
      </c>
      <c r="E146" s="1">
        <v>0</v>
      </c>
      <c r="F146" s="1">
        <v>150</v>
      </c>
      <c r="G146" s="1" t="s">
        <v>48</v>
      </c>
      <c r="H146" s="1" t="s">
        <v>41</v>
      </c>
    </row>
    <row r="147" spans="1:8" x14ac:dyDescent="0.3">
      <c r="A147" s="1" t="s">
        <v>159</v>
      </c>
      <c r="B147" s="1" t="s">
        <v>9</v>
      </c>
      <c r="C147" s="1" t="s">
        <v>13</v>
      </c>
      <c r="D147" s="1">
        <v>4</v>
      </c>
      <c r="E147" s="1">
        <v>771</v>
      </c>
      <c r="F147" s="1">
        <v>450</v>
      </c>
      <c r="G147" s="1" t="s">
        <v>48</v>
      </c>
      <c r="H147" s="1" t="s">
        <v>16</v>
      </c>
    </row>
    <row r="148" spans="1:8" x14ac:dyDescent="0.3">
      <c r="A148" s="1" t="s">
        <v>160</v>
      </c>
      <c r="B148" s="1" t="s">
        <v>13</v>
      </c>
      <c r="C148" s="1" t="s">
        <v>13</v>
      </c>
      <c r="D148" s="1">
        <v>3</v>
      </c>
      <c r="E148" s="1">
        <v>98</v>
      </c>
      <c r="F148" s="1">
        <v>800</v>
      </c>
      <c r="G148" s="1" t="s">
        <v>48</v>
      </c>
      <c r="H148" s="1" t="s">
        <v>11</v>
      </c>
    </row>
    <row r="149" spans="1:8" x14ac:dyDescent="0.3">
      <c r="A149" s="1" t="s">
        <v>161</v>
      </c>
      <c r="B149" s="1" t="s">
        <v>9</v>
      </c>
      <c r="C149" s="1" t="s">
        <v>13</v>
      </c>
      <c r="D149" s="1">
        <v>3.9</v>
      </c>
      <c r="E149" s="1">
        <v>47</v>
      </c>
      <c r="F149" s="1">
        <v>200</v>
      </c>
      <c r="G149" s="1" t="s">
        <v>48</v>
      </c>
      <c r="H149" s="1" t="s">
        <v>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6615-EBA3-4625-BD51-1E4726C75C7A}">
  <dimension ref="A1:F9"/>
  <sheetViews>
    <sheetView workbookViewId="0">
      <selection activeCell="P7" sqref="P7"/>
    </sheetView>
  </sheetViews>
  <sheetFormatPr defaultRowHeight="14.4" x14ac:dyDescent="0.3"/>
  <cols>
    <col min="1" max="1" width="18.21875" customWidth="1"/>
    <col min="2" max="2" width="10.77734375" customWidth="1"/>
  </cols>
  <sheetData>
    <row r="1" spans="1:6" x14ac:dyDescent="0.3">
      <c r="A1" t="s">
        <v>162</v>
      </c>
      <c r="B1">
        <f>COUNTA(Table1[name])</f>
        <v>148</v>
      </c>
    </row>
    <row r="2" spans="1:6" x14ac:dyDescent="0.3">
      <c r="A2" t="s">
        <v>163</v>
      </c>
      <c r="B2">
        <f>ROUND(AVERAGE(Table1[rate]), 2)</f>
        <v>3.63</v>
      </c>
    </row>
    <row r="3" spans="1:6" x14ac:dyDescent="0.3">
      <c r="A3" t="s">
        <v>164</v>
      </c>
      <c r="B3">
        <f>ROUND(AVERAGE(Table1[approx_cost(for two people)]),2)</f>
        <v>418.24</v>
      </c>
    </row>
    <row r="4" spans="1:6" x14ac:dyDescent="0.3">
      <c r="A4" t="s">
        <v>165</v>
      </c>
      <c r="B4" s="2">
        <f>COUNTIF(Table1[online_order],"Yes")/COUNTA(Table1[online_order])</f>
        <v>0.39189189189189189</v>
      </c>
    </row>
    <row r="5" spans="1:6" x14ac:dyDescent="0.3">
      <c r="A5" t="s">
        <v>166</v>
      </c>
      <c r="B5">
        <f>COUNTIF(Table1[rate],"&gt;="&amp;4)</f>
        <v>34</v>
      </c>
    </row>
    <row r="8" spans="1:6" ht="15" x14ac:dyDescent="0.35">
      <c r="B8" s="3" t="s">
        <v>167</v>
      </c>
      <c r="C8" s="3" t="s">
        <v>168</v>
      </c>
      <c r="D8" t="s">
        <v>169</v>
      </c>
      <c r="E8" t="s">
        <v>170</v>
      </c>
      <c r="F8" t="s">
        <v>171</v>
      </c>
    </row>
    <row r="9" spans="1:6" ht="15" x14ac:dyDescent="0.35">
      <c r="B9">
        <f>COUNTIFS(Table1[rate],"&gt;="&amp;2.5,Table1[rate],"&lt;"&amp;3)</f>
        <v>10</v>
      </c>
      <c r="C9" s="3">
        <f>COUNTIFS(Table1[rate],"&gt;="&amp;3,Table1[rate],"&lt;"&amp;3.5)</f>
        <v>42</v>
      </c>
      <c r="D9">
        <f>COUNTIFS(Table1[rate],"&gt;="&amp;3.5,Table1[rate],"&lt;"&amp;4)</f>
        <v>62</v>
      </c>
      <c r="E9">
        <f>COUNTIFS(Table1[rate],"&gt;="&amp;4,Table1[rate],"&lt;"&amp;4.5)</f>
        <v>32</v>
      </c>
      <c r="F9">
        <f>COUNTIFS(Table1[rate],"&gt;="&amp;4.5,Table1[rate],"&lt;="&amp;5)</f>
        <v>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8793-857E-48B4-BE2D-044FD9441EF4}">
  <sheetPr>
    <pageSetUpPr autoPageBreaks="0"/>
  </sheetPr>
  <dimension ref="A1"/>
  <sheetViews>
    <sheetView showGridLines="0" showRowColHeaders="0" tabSelected="1" zoomScale="47" zoomScaleNormal="47" workbookViewId="0">
      <selection activeCell="CP15" sqref="CP15"/>
    </sheetView>
  </sheetViews>
  <sheetFormatPr defaultColWidth="2.77734375" defaultRowHeight="15" customHeight="1" x14ac:dyDescent="0.3"/>
  <cols>
    <col min="1" max="30" width="2.77734375" style="7"/>
    <col min="31" max="32" width="2.77734375" style="7" customWidth="1"/>
    <col min="33" max="16384" width="2.77734375" style="7"/>
  </cols>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Sheet5</vt:lpstr>
      <vt:lpstr>Sheet6</vt:lpstr>
      <vt:lpstr>Sheet7</vt:lpstr>
      <vt:lpstr>Data</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KARUNANAYAKE D.N.</dc:creator>
  <cp:lastModifiedBy>KARUNANAYAKE D.N.</cp:lastModifiedBy>
  <cp:lastPrinted>2026-05-14T05:13:48Z</cp:lastPrinted>
  <dcterms:created xsi:type="dcterms:W3CDTF">2026-05-13T12:58:40Z</dcterms:created>
  <dcterms:modified xsi:type="dcterms:W3CDTF">2026-05-14T05:21:29Z</dcterms:modified>
</cp:coreProperties>
</file>